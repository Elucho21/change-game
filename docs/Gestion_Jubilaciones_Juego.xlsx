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 Sistema" sheetId="1" state="visible" r:id="rId3"/>
    <sheet name="Proyección 10 años" sheetId="2" state="visible" r:id="rId4"/>
    <sheet name="Fórmulas Economía" sheetId="3" state="visible" r:id="rId5"/>
    <sheet name="Gasto Militar vs Previsional" sheetId="4" state="visible" r:id="rId6"/>
    <sheet name="Reformas y Capital Político" sheetId="5" state="visible" r:id="rId7"/>
    <sheet name="Dashboard Rápido" sheetId="6" state="visible" r:id="rId8"/>
    <sheet name="Calculadora Reforma" sheetId="7" state="visible" r:id="rId9"/>
    <sheet name="Impacto en Emple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<sst xmlns="http://schemas.openxmlformats.org/spreadsheetml/2006/main" count="652" uniqueCount="558">
  <si>
    <t xml:space="preserve">GESTIÓN DE JUBILACIONES - SISTEMA PREVISIONAL DEL JUEGO</t>
  </si>
  <si>
    <t xml:space="preserve">Archivo de control y simulación para el sistema de jubilaciones. Inputs en azul + fondo amarillo. Fórmulas en negro.</t>
  </si>
  <si>
    <t xml:space="preserve">1. PARÁMETROS DEMOGRÁFICOS Y DE SISTEMA</t>
  </si>
  <si>
    <t xml:space="preserve">Parámetro</t>
  </si>
  <si>
    <t xml:space="preserve">Valor</t>
  </si>
  <si>
    <t xml:space="preserve">Unidad / Nota</t>
  </si>
  <si>
    <t xml:space="preserve">Edad legal de jubilación (hombres)</t>
  </si>
  <si>
    <t xml:space="preserve">años</t>
  </si>
  <si>
    <t xml:space="preserve">Edad legal de jubilación (mujeres)</t>
  </si>
  <si>
    <t xml:space="preserve">Edad promedio efectiva de retiro</t>
  </si>
  <si>
    <t xml:space="preserve">Esperanza de vida al nacer</t>
  </si>
  <si>
    <t xml:space="preserve">Esperanza de vida a los 65</t>
  </si>
  <si>
    <t xml:space="preserve">Tasa de fertilidad</t>
  </si>
  <si>
    <t xml:space="preserve">hijos por mujer</t>
  </si>
  <si>
    <t xml:space="preserve">Crecimiento poblacional anual</t>
  </si>
  <si>
    <t xml:space="preserve">%</t>
  </si>
  <si>
    <t xml:space="preserve">Población total (millones)</t>
  </si>
  <si>
    <t xml:space="preserve">millones</t>
  </si>
  <si>
    <t xml:space="preserve">Población en edad de trabajar (15-64)</t>
  </si>
  <si>
    <t xml:space="preserve">% de población</t>
  </si>
  <si>
    <t xml:space="preserve">Población &gt;= edad jubilación</t>
  </si>
  <si>
    <t xml:space="preserve">Ratio de dependencia previsional</t>
  </si>
  <si>
    <t xml:space="preserve">jubilados / activos</t>
  </si>
  <si>
    <t xml:space="preserve">2. APORTES, BENEFICIOS Y FINANCIAMIENTO</t>
  </si>
  <si>
    <t xml:space="preserve">Tasa de aporte del trabajador</t>
  </si>
  <si>
    <t xml:space="preserve">% del salario</t>
  </si>
  <si>
    <t xml:space="preserve">Tasa de aporte del empleador</t>
  </si>
  <si>
    <t xml:space="preserve">Tasa total de aporte</t>
  </si>
  <si>
    <t xml:space="preserve">% (automático)</t>
  </si>
  <si>
    <t xml:space="preserve">Tasa de reemplazo promedio</t>
  </si>
  <si>
    <t xml:space="preserve">% del último salario</t>
  </si>
  <si>
    <t xml:space="preserve">Jubilación mínima (en % del salario medio)</t>
  </si>
  <si>
    <t xml:space="preserve">Jubilación máxima (en % del salario medio)</t>
  </si>
  <si>
    <t xml:space="preserve">Índice de actualización de haberes</t>
  </si>
  <si>
    <t xml:space="preserve">% de inflación + % de salarios</t>
  </si>
  <si>
    <t xml:space="preserve">Cobertura del sistema (% de ocupados)</t>
  </si>
  <si>
    <t xml:space="preserve">Porcentaje de morosidad / evasión</t>
  </si>
  <si>
    <t xml:space="preserve">Aporte del Estado (déficit estructural % PBI)</t>
  </si>
  <si>
    <t xml:space="preserve">% del PBI</t>
  </si>
  <si>
    <t xml:space="preserve">3. VARIABLES MACROECONÓMICAS VINCULADAS</t>
  </si>
  <si>
    <t xml:space="preserve">PBI nominal actual (millones moneda local)</t>
  </si>
  <si>
    <t xml:space="preserve">Crecimiento real del PBI esperado</t>
  </si>
  <si>
    <t xml:space="preserve">% anual</t>
  </si>
  <si>
    <t xml:space="preserve">Inflación esperada anual</t>
  </si>
  <si>
    <t xml:space="preserve">Salario medio nominal anual</t>
  </si>
  <si>
    <t xml:space="preserve">moneda local</t>
  </si>
  <si>
    <t xml:space="preserve">Crecimiento real de salarios</t>
  </si>
  <si>
    <t xml:space="preserve">Tipo de cambio (moneda local / USD)</t>
  </si>
  <si>
    <t xml:space="preserve">TC</t>
  </si>
  <si>
    <t xml:space="preserve">Gasto militar (% PBI)</t>
  </si>
  <si>
    <t xml:space="preserve">Déficit / Superávit fiscal total (% PBI)</t>
  </si>
  <si>
    <t xml:space="preserve">% del PBI (negativo = déficit)</t>
  </si>
  <si>
    <t xml:space="preserve">NOTAS DE DISEÑO DEL JUEGO:</t>
  </si>
  <si>
    <t xml:space="preserve">• Los valores en azul + amarillo son INPUTS editables por el jugador o diseñador.</t>
  </si>
  <si>
    <t xml:space="preserve">• La tasa total de aporte (B22) es fórmula = aporte trabajador + empleador.</t>
  </si>
  <si>
    <t xml:space="preserve">• El aporte del Estado (B29) alimenta directamente el déficit fiscal y por tanto la inflación y la deuda.</t>
  </si>
  <si>
    <t xml:space="preserve">• Gasto militar (B39) se analiza en la hoja 'Gasto Militar vs Previsional'.</t>
  </si>
  <si>
    <t xml:space="preserve">• Cambiar edad de jubilación o tasa de reemplazo tiene alto costo de Capital Político.</t>
  </si>
  <si>
    <t xml:space="preserve">4. INDICADORES DE EMPLEO Y MERCADO LABORAL</t>
  </si>
  <si>
    <t xml:space="preserve">Tasa de desempleo abierta</t>
  </si>
  <si>
    <t xml:space="preserve">% de PEA</t>
  </si>
  <si>
    <t xml:space="preserve">Tasa de empleo informal</t>
  </si>
  <si>
    <t xml:space="preserve">% de ocupados</t>
  </si>
  <si>
    <t xml:space="preserve">Participación laboral (PEA/Pob 15-64)</t>
  </si>
  <si>
    <t xml:space="preserve">Elasticidad empleo-PBI</t>
  </si>
  <si>
    <t xml:space="preserve">cuánto sube empleo por 1% PBI</t>
  </si>
  <si>
    <t xml:space="preserve">Sensibilidad formalización a aportes</t>
  </si>
  <si>
    <t xml:space="preserve">alto = aportes altos destruyen formalidad</t>
  </si>
  <si>
    <t xml:space="preserve">Costo laboral no salarial (aportes+otros)</t>
  </si>
  <si>
    <t xml:space="preserve">% del salario bruto</t>
  </si>
  <si>
    <t xml:space="preserve">Salario mínimo / salario medio</t>
  </si>
  <si>
    <t xml:space="preserve">ratio</t>
  </si>
  <si>
    <t xml:space="preserve">Impacto de edad jubilación en PEA</t>
  </si>
  <si>
    <t xml:space="preserve">subir edad +1 año → +X% PEA</t>
  </si>
  <si>
    <t xml:space="preserve">NOTA: El empleo formal es el que aporta al sistema previsional. Subir aportes o rigideces destruye formalidad y sube informalidad/desempleo.</t>
  </si>
  <si>
    <t xml:space="preserve">5. DEFLACIÓN, RESERVAS, SUPERÁVIT PASIVO Y SALARIOS</t>
  </si>
  <si>
    <t xml:space="preserve">Inflación / Deflación actual (negativo = deflación)</t>
  </si>
  <si>
    <t xml:space="preserve">% anual (negativo = deflación)</t>
  </si>
  <si>
    <t xml:space="preserve">Reservas internacionales actuales (millones USD)</t>
  </si>
  <si>
    <t xml:space="preserve">millones USD</t>
  </si>
  <si>
    <t xml:space="preserve">Crecimiento pasivo de reservas bajo deflación</t>
  </si>
  <si>
    <t xml:space="preserve">% por cada 1% de deflación</t>
  </si>
  <si>
    <t xml:space="preserve">¿Superávit se preserva pasivamente bajo deflación?</t>
  </si>
  <si>
    <t xml:space="preserve">1=Sí / 0=No (regla de diseño)</t>
  </si>
  <si>
    <t xml:space="preserve">Elasticidad salarios-empleo formal</t>
  </si>
  <si>
    <t xml:space="preserve">sube formalidad → sube presión salarial</t>
  </si>
  <si>
    <t xml:space="preserve">Elasticidad salarios-productividad</t>
  </si>
  <si>
    <t xml:space="preserve">productividad → salarios reales</t>
  </si>
  <si>
    <t xml:space="preserve">Impacto de aportes en salarios netos</t>
  </si>
  <si>
    <t xml:space="preserve">casi 1:1 en neto del trabajador</t>
  </si>
  <si>
    <t xml:space="preserve">Indexación salarios a inflación</t>
  </si>
  <si>
    <t xml:space="preserve">0=ninguna, 1=100% indexado</t>
  </si>
  <si>
    <t xml:space="preserve">REGLA CLAVE DE DEFLACIÓN: Si inflación &lt; 0 (deflación), las reservas crecen de forma pasiva (por apreciación real + menor demanda de importaciones + posible entrada de capitales). El superávit fiscal, si existe, NO se erosiona pasivamente; se preserva o incluso se fortalece en términos reales.</t>
  </si>
  <si>
    <t xml:space="preserve">6. CARGA TRIBUTARIA, RECAUDACIÓN Y EFECTO DINÁMICO DEL CRECIMIENTO</t>
  </si>
  <si>
    <t xml:space="preserve">Carga tributaria total (% PBI)</t>
  </si>
  <si>
    <t xml:space="preserve">% del PBI (impuestos + aportes)</t>
  </si>
  <si>
    <t xml:space="preserve">Recaudación tributaria actual (millones)</t>
  </si>
  <si>
    <t xml:space="preserve">millones moneda local</t>
  </si>
  <si>
    <t xml:space="preserve">Elasticidad recaudación / PBI (buoyancy)</t>
  </si>
  <si>
    <t xml:space="preserve">&gt;1 = progresiva / buena administración</t>
  </si>
  <si>
    <t xml:space="preserve">Elasticidad PBI / carga tributaria</t>
  </si>
  <si>
    <t xml:space="preserve">cuánto cae PBI por cada 1pp más de carga</t>
  </si>
  <si>
    <t xml:space="preserve">Elasticidad formalización / carga tributaria</t>
  </si>
  <si>
    <t xml:space="preserve">bajar impuestos ↑ formalidad</t>
  </si>
  <si>
    <t xml:space="preserve">Lag del efecto crecimiento (años)</t>
  </si>
  <si>
    <t xml:space="preserve">años hasta que el crecimiento compensa</t>
  </si>
  <si>
    <t xml:space="preserve">Porcentaje de compensación media (año 3-5)</t>
  </si>
  <si>
    <t xml:space="preserve">% de la pérdida estática que se recupera</t>
  </si>
  <si>
    <t xml:space="preserve">Tasa impositiva marginal promedio efectiva</t>
  </si>
  <si>
    <t xml:space="preserve">REGLA CLAVE: Bajar impuestos tiene coste fiscal estático inmediato, pero el crecimiento de la economía (mayor base imponible + formalización) puede compensar total o parcialmente esa baja a mediano plazo. Por eso bajar impuestos puede tener sentido económico y político si se acompaña de estabilidad y confianza.</t>
  </si>
  <si>
    <t xml:space="preserve">PROYECCIÓN FINANCIERA DEL SISTEMA PREVISIONAL (10 AÑOS)</t>
  </si>
  <si>
    <t xml:space="preserve">Basado en parámetros de la hoja 'Parámetros Sistema'. Todas las celdas de cálculo son fórmulas.</t>
  </si>
  <si>
    <t xml:space="preserve">Concepto</t>
  </si>
  <si>
    <t xml:space="preserve">Población activa (millones)</t>
  </si>
  <si>
    <t xml:space="preserve">Jubilados (millones)</t>
  </si>
  <si>
    <t xml:space="preserve">Ratio de dependencia (jub/activos)</t>
  </si>
  <si>
    <t xml:space="preserve">Masa salarial nominal (millones)</t>
  </si>
  <si>
    <t xml:space="preserve">Recaudación previsional (millones)</t>
  </si>
  <si>
    <t xml:space="preserve">Gasto en jubilaciones (millones)</t>
  </si>
  <si>
    <t xml:space="preserve">Resultado previsional (millones)</t>
  </si>
  <si>
    <t xml:space="preserve">Resultado previsional (% PBI)</t>
  </si>
  <si>
    <t xml:space="preserve">Aporte estatal necesario (% PBI)</t>
  </si>
  <si>
    <t xml:space="preserve">Impacto en Déficit Fiscal total (% PBI)</t>
  </si>
  <si>
    <t xml:space="preserve">Interpretación rápida:</t>
  </si>
  <si>
    <t xml:space="preserve">• Resultado previsional negativo = el sistema no se autofinancia → el Estado debe aportar → aumenta déficit → presión inflacionaria y deuda.</t>
  </si>
  <si>
    <t xml:space="preserve">• Ratio de dependencia creciente = envejecimiento → más presión futura.</t>
  </si>
  <si>
    <t xml:space="preserve">• Reformas (subir edad, bajar tasa de reemplazo, subir aportes) mejoran el resultado pero cuestan Capital Político.</t>
  </si>
  <si>
    <t xml:space="preserve">FÓRMULAS DE INFLACIÓN, TIPO DE CAMBIO Y VÍNCULOS CON JUBILACIONES</t>
  </si>
  <si>
    <t xml:space="preserve">1. FÓRMULA DE INFLACIÓN (versión de juego)</t>
  </si>
  <si>
    <t xml:space="preserve">π_t = π_{t-1} × (1 - α) + β × EmisiónMonetaria_t + γ × BrechaProducto_t + δ × ShockCostos_t + ε × Expectativas_t + ζ × DéficitPrevisional_t</t>
  </si>
  <si>
    <t xml:space="preserve">Componentes:</t>
  </si>
  <si>
    <t xml:space="preserve">π_t</t>
  </si>
  <si>
    <t xml:space="preserve">Inflación del período actual</t>
  </si>
  <si>
    <t xml:space="preserve">π_{t-1}</t>
  </si>
  <si>
    <t xml:space="preserve">Inflación del período anterior (inercia)</t>
  </si>
  <si>
    <t xml:space="preserve">α</t>
  </si>
  <si>
    <t xml:space="preserve">Velocidad de anclaje de expectativas (0.3 – 0.6 recomendado)</t>
  </si>
  <si>
    <t xml:space="preserve">β</t>
  </si>
  <si>
    <t xml:space="preserve">Sensibilidad a la emisión monetaria (0.4 – 0.8)</t>
  </si>
  <si>
    <t xml:space="preserve">EmisiónMonetaria_t</t>
  </si>
  <si>
    <t xml:space="preserve">Proporcional al déficit fiscal monetizado (si no se financia con deuda real)</t>
  </si>
  <si>
    <t xml:space="preserve">γ</t>
  </si>
  <si>
    <t xml:space="preserve">Sensibilidad a la brecha de producto (demanda)</t>
  </si>
  <si>
    <t xml:space="preserve">BrechaProducto_t</t>
  </si>
  <si>
    <t xml:space="preserve">(PBI efectivo - PBI potencial) / PBI potencial</t>
  </si>
  <si>
    <t xml:space="preserve">δ</t>
  </si>
  <si>
    <t xml:space="preserve">Sensibilidad a shocks de costos (energía, alimentos, tipo de cambio)</t>
  </si>
  <si>
    <t xml:space="preserve">ε</t>
  </si>
  <si>
    <t xml:space="preserve">Peso de las expectativas (pueden ser adaptativas o racionales)</t>
  </si>
  <si>
    <t xml:space="preserve">ζ</t>
  </si>
  <si>
    <t xml:space="preserve">Impacto directo del déficit previsional sobre la emisión o el gasto</t>
  </si>
  <si>
    <t xml:space="preserve">Regla de juego importante (Superávit):</t>
  </si>
  <si>
    <t xml:space="preserve">Si DéficitFiscal_t ≤ 0 (superávit) → EmisiónMonetaria_t ≈ 0 → el término β desaparece → inflación tiende a caer hacia el ancla de expectativas.</t>
  </si>
  <si>
    <t xml:space="preserve">Además, el superávit permite acumular reservas o comprar oro → refuerza el tipo de cambio → reduce el componente δ (shock de costos importados).</t>
  </si>
  <si>
    <t xml:space="preserve">2. FÓRMULA DE TIPO DE CAMBIO (versión de juego)</t>
  </si>
  <si>
    <t xml:space="preserve">e_t = e_{t-1} × [1 + (π_local - π_extranjero) + λ × (i_extranjero - i_local) + μ × FlujoCapitales_t + ν × ΔReservas_t + ξ × PrimaRiesgo_t]</t>
  </si>
  <si>
    <t xml:space="preserve">e_t</t>
  </si>
  <si>
    <t xml:space="preserve">Tipo de cambio (moneda local por USD)</t>
  </si>
  <si>
    <t xml:space="preserve">(π_local - π_extranjero)</t>
  </si>
  <si>
    <t xml:space="preserve">Diferencial de inflación (PPP relativo)</t>
  </si>
  <si>
    <t xml:space="preserve">λ × (i* - i)</t>
  </si>
  <si>
    <t xml:space="preserve">Diferencial de tasas de interés (paridad descubierta)</t>
  </si>
  <si>
    <t xml:space="preserve">μ × FlujoCapitales</t>
  </si>
  <si>
    <t xml:space="preserve">Entrada/salida de capitales (inversión extranjera, carry trade)</t>
  </si>
  <si>
    <t xml:space="preserve">ν × ΔReservas</t>
  </si>
  <si>
    <t xml:space="preserve">Variación de reservas internacionales (incluye compra de oro)</t>
  </si>
  <si>
    <t xml:space="preserve">ξ × PrimaRiesgo</t>
  </si>
  <si>
    <t xml:space="preserve">Riesgo país, incertidumbre política, deuda/PBI alto</t>
  </si>
  <si>
    <t xml:space="preserve">Vínculo con Superávit y Oro:</t>
  </si>
  <si>
    <t xml:space="preserve">Cuando hay superávit fiscal el gobierno puede destinar parte del excedente a comprar oro o dólares → ΔReservas positivo → el tipo de cambio se aprecia o se estabiliza (ν &gt; 0 reduce e_t).</t>
  </si>
  <si>
    <t xml:space="preserve">Esto baja la inflación importada y genera un círculo virtuoso: superávit → menos emisión → menos inflación → tipo de cambio más fuerte → menos inflación.</t>
  </si>
  <si>
    <t xml:space="preserve">3. VÍNCULO JUBILACIONES → INFLACIÓN → TIPO DE CAMBIO</t>
  </si>
  <si>
    <t xml:space="preserve">Déficit previsional alto → aumenta el déficit fiscal total → si se monetiza → sube EmisiónMonetaria → sube π → se deprecia e → suben costos importados → más inflación (espiral).</t>
  </si>
  <si>
    <t xml:space="preserve">Por eso reformar el sistema previsional (aunque cueste Capital Político) es una de las herramientas más potentes para anclar inflación y estabilizar el tipo de cambio a mediano plazo.</t>
  </si>
  <si>
    <t xml:space="preserve">4. RECAUDACIÓN TRIBUTARIA Y EFECTO DINÁMICO DEL CRECIMIENTO DE LA ECONOMÍA</t>
  </si>
  <si>
    <t xml:space="preserve">Recaudación estática (sin cambio de comportamiento):</t>
  </si>
  <si>
    <t xml:space="preserve">Recaudación_t = CargaTributaria × PBI_t</t>
  </si>
  <si>
    <t xml:space="preserve">Cuando cambia el tamaño de la economía (crecimiento o contracción):</t>
  </si>
  <si>
    <t xml:space="preserve">ΔRecaudación ≈ Elasticidad_Recaudación/PBI × ΔPBI × Recaudación_anterior</t>
  </si>
  <si>
    <t xml:space="preserve">Con Elasticidad (buoyancy) típica = 1.10 – 1.30. Si el PBI crece 3%, la recaudación tiende a crecer 3.3–3.9%.</t>
  </si>
  <si>
    <t xml:space="preserve">Efecto dinámico de bajar (o subir) impuestos:</t>
  </si>
  <si>
    <t xml:space="preserve">1. Efecto estático inmediato: ΔRecaudación_estática = Δtasa × Base_actual  (negativo si se baja la tasa)</t>
  </si>
  <si>
    <t xml:space="preserve">2. Efecto actividad económica: ΔPBI ≈ Elasticidad_PBI/Carga × ΔCargaTributaria</t>
  </si>
  <si>
    <t xml:space="preserve">3. Efecto formalización: ΔCobertura ≈ Elasticidad_Formalización × ΔCargaTributaria  (bajar impuestos ↑ formalidad)</t>
  </si>
  <si>
    <t xml:space="preserve">4. Efecto dinámico total a mediano plazo (año 3-5):</t>
  </si>
  <si>
    <t xml:space="preserve">   ΔRecaudación_dinámica ≈ ΔRecaudación_estática + (Elasticidad × ΔPBI × Recaudación) + efecto formalización</t>
  </si>
  <si>
    <t xml:space="preserve">Por qué bajar impuestos puede tener sentido a mediano plazo:</t>
  </si>
  <si>
    <t xml:space="preserve">• La pérdida estática de recaudación se ve parcialmente o totalmente compensada por el mayor tamaño de la economía y por mayor formalización.</t>
  </si>
  <si>
    <t xml:space="preserve">• El lag típico es de 2-4 años. En el corto plazo duele; en el mediano plazo puede ser neutral o positivo para la caja.</t>
  </si>
  <si>
    <t xml:space="preserve">• Condiciones para que funcione: estabilidad macro, reglas claras, que la baja se perciba como permanente, y que no se financie con emisión descontrolada.</t>
  </si>
  <si>
    <t xml:space="preserve">• Si la economía está en recesión o con alta informalidad, el efecto dinámico es más potente (mayor elasticidad).</t>
  </si>
  <si>
    <t xml:space="preserve">Vínculo con superávit y deflación:</t>
  </si>
  <si>
    <t xml:space="preserve">Un superávit + deflación leve + baja de impuestos bien diseñada puede generar un círculo virtuoso: más actividad → más recaudación dinámica → superávit más fácil de mantener → más reservas pasivas.</t>
  </si>
  <si>
    <t xml:space="preserve">ANÁLISIS DE GASTO MILITAR EN EL PBI Y COMPARACIÓN CON GASTO PREVISIONAL</t>
  </si>
  <si>
    <t xml:space="preserve">1. RANGOS REALISTAS DE GASTO MILITAR (% del PBI)</t>
  </si>
  <si>
    <t xml:space="preserve">Nivel</t>
  </si>
  <si>
    <t xml:space="preserve">% PBI típico</t>
  </si>
  <si>
    <t xml:space="preserve">Ejemplos</t>
  </si>
  <si>
    <t xml:space="preserve">Impacto en el juego</t>
  </si>
  <si>
    <t xml:space="preserve">Muy bajo</t>
  </si>
  <si>
    <t xml:space="preserve">0.8% – 1.2%</t>
  </si>
  <si>
    <t xml:space="preserve">Japón (históricamente), Costa Rica, algunos europeos</t>
  </si>
  <si>
    <t xml:space="preserve">Baja disuasión, alto Capital Político interno, vulnerable a crisis</t>
  </si>
  <si>
    <t xml:space="preserve">Bajo-Medio</t>
  </si>
  <si>
    <t xml:space="preserve">1.3% – 2.0%</t>
  </si>
  <si>
    <t xml:space="preserve">Mayoría de América Latina, Canadá, Alemania</t>
  </si>
  <si>
    <t xml:space="preserve">Equilibrio razonable para países sin amenazas inmediatas</t>
  </si>
  <si>
    <t xml:space="preserve">Medio</t>
  </si>
  <si>
    <t xml:space="preserve">2.1% – 3.0%</t>
  </si>
  <si>
    <t xml:space="preserve">China, India, Reino Unido, Francia</t>
  </si>
  <si>
    <t xml:space="preserve">Capacidad de proyección regional, coste fiscal moderado</t>
  </si>
  <si>
    <t xml:space="preserve">Alto</t>
  </si>
  <si>
    <t xml:space="preserve">3.1% – 4.5%</t>
  </si>
  <si>
    <t xml:space="preserve">EE.UU., Rusia, Corea del Sur, Israel</t>
  </si>
  <si>
    <t xml:space="preserve">Alta disuasión y proyección, presión fiscal y de oportunidad</t>
  </si>
  <si>
    <t xml:space="preserve">Muy alto</t>
  </si>
  <si>
    <t xml:space="preserve">&gt; 4.5%</t>
  </si>
  <si>
    <t xml:space="preserve">Corea del Norte, algunos países en guerra</t>
  </si>
  <si>
    <t xml:space="preserve">Economía de guerra, alto coste político interno si no hay amenaza clara</t>
  </si>
  <si>
    <t xml:space="preserve">2. TRADE-OFF GASTO MILITAR vs GASTO PREVISIONAL</t>
  </si>
  <si>
    <t xml:space="preserve">En el juego ambos compiten por el mismo presupuesto.</t>
  </si>
  <si>
    <t xml:space="preserve">• Subir gasto militar mejora Defensa, disuasión y Capital Diplomático (con aliados), pero aumenta déficit o reduce otros gastos.</t>
  </si>
  <si>
    <t xml:space="preserve">• El gasto previsional es rígido (derechos adquiridos) y tiene alto peso político: recortarlo cuesta mucho Capital Político.</t>
  </si>
  <si>
    <t xml:space="preserve">• Un país con alto gasto previsional + alto gasto militar suele tener déficit estructural → inflación y deuda crecientes.</t>
  </si>
  <si>
    <t xml:space="preserve">3. REGLA DE DISEÑO RECOMENDADA</t>
  </si>
  <si>
    <t xml:space="preserve">Gasto Militar + Gasto Previsional + Intereses de la Deuda  no deberían superar el 15-18% del PBI de forma sostenida sin generar problemas de sostenibilidad.</t>
  </si>
  <si>
    <t xml:space="preserve">Si el jugador quiere subir defensa de forma agresiva, debe:</t>
  </si>
  <si>
    <t xml:space="preserve">  a) Tener superávit o espacio fiscal, o</t>
  </si>
  <si>
    <t xml:space="preserve">  b) Reformar el sistema previsional (subir edad, bajar reemplazo), o</t>
  </si>
  <si>
    <t xml:space="preserve">  c) Aceptar más déficit → más inflación y deterioro del tipo de cambio.</t>
  </si>
  <si>
    <t xml:space="preserve">4. IMPACTO POLÍTICO DEL GASTO MILITAR</t>
  </si>
  <si>
    <t xml:space="preserve">• En países sin amenaza externa percibida: subir gasto militar resta Capital Político (se percibe como despilfarro).</t>
  </si>
  <si>
    <t xml:space="preserve">• En países con amenaza (vecinos hostiles, terrorismo, disputas territoriales): subir gasto militar puede SUMAR Capital Político.</t>
  </si>
  <si>
    <t xml:space="preserve">• Usar el gasto militar en operaciones exitosas (o especiales) puede generar gran Capital Político y Diplomático.</t>
  </si>
  <si>
    <t xml:space="preserve">PARÁMETROS DETALLADOS DE REFORMA PREVISIONAL</t>
  </si>
  <si>
    <t xml:space="preserve">Sistema completo de reformas parametrizadas para el juego. Inputs en azul + amarillo. Efectos y costes políticos desglosados.</t>
  </si>
  <si>
    <t xml:space="preserve">1. PARÁMETROS QUE SE PUEDEN REFORMAR</t>
  </si>
  <si>
    <t xml:space="preserve">Parámetro de Reforma</t>
  </si>
  <si>
    <t xml:space="preserve">Valor Actual</t>
  </si>
  <si>
    <t xml:space="preserve">Valor Propuesto</t>
  </si>
  <si>
    <t xml:space="preserve">Δ (cambio)</t>
  </si>
  <si>
    <t xml:space="preserve">Unidad</t>
  </si>
  <si>
    <t xml:space="preserve">Notas de implementación</t>
  </si>
  <si>
    <t xml:space="preserve">Edad legal jubilación hombres</t>
  </si>
  <si>
    <t xml:space="preserve">Transición gradual recomendada (1 año cada 2 años calendario)</t>
  </si>
  <si>
    <t xml:space="preserve">Edad legal jubilación mujeres</t>
  </si>
  <si>
    <t xml:space="preserve">Igualar géneros tiene coste político extra por grupos de género</t>
  </si>
  <si>
    <t xml:space="preserve">Edad efectiva promedio de retiro</t>
  </si>
  <si>
    <t xml:space="preserve">Se mueve con incentivos y penalizaciones por retiro anticipado</t>
  </si>
  <si>
    <t xml:space="preserve">Años mínimos de aporte (jubilación plena)</t>
  </si>
  <si>
    <t xml:space="preserve">Aumentar requisitos reduce gasto futuro; afecta a informales</t>
  </si>
  <si>
    <t xml:space="preserve">Tasa de aporte trabajador</t>
  </si>
  <si>
    <t xml:space="preserve">% salario</t>
  </si>
  <si>
    <t xml:space="preserve">Impacto directo en poder adquisitivo de los activos</t>
  </si>
  <si>
    <t xml:space="preserve">Tasa de aporte empleador</t>
  </si>
  <si>
    <t xml:space="preserve">Impacto en costo laboral y competitividad empresarial</t>
  </si>
  <si>
    <t xml:space="preserve">% último salario</t>
  </si>
  <si>
    <t xml:space="preserve">El parámetro más sensible políticamente</t>
  </si>
  <si>
    <t xml:space="preserve">Pensión mínima (% salario medio)</t>
  </si>
  <si>
    <t xml:space="preserve">Bajarla afecta a los más pobres → alto riesgo social</t>
  </si>
  <si>
    <t xml:space="preserve">Pensión máxima (% salario medio)</t>
  </si>
  <si>
    <t xml:space="preserve">Bajar techos es más fácil políticamente (afecta altos ingresos)</t>
  </si>
  <si>
    <t xml:space="preserve">% (infl+salarios)</t>
  </si>
  <si>
    <t xml:space="preserve">0.5 = solo inflación; 1.0 = inflación + salarios reales</t>
  </si>
  <si>
    <t xml:space="preserve">Edad acceso a pensión mínima</t>
  </si>
  <si>
    <t xml:space="preserve">Puede ser distinta a la edad de jubilación plena</t>
  </si>
  <si>
    <t xml:space="preserve">Morosidad / evasión objetivo</t>
  </si>
  <si>
    <t xml:space="preserve">Requiere capacidad de fiscalización (ministros competentes)</t>
  </si>
  <si>
    <t xml:space="preserve">Cobertura del sistema (objetivo)</t>
  </si>
  <si>
    <t xml:space="preserve">% ocupados</t>
  </si>
  <si>
    <t xml:space="preserve">Formalización: lenta pero genera Capital Político positivo</t>
  </si>
  <si>
    <t xml:space="preserve">2. COSTE EN CAPITAL POLÍTICO POR REFORMA (desglosado por grupo afectado)</t>
  </si>
  <si>
    <t xml:space="preserve">Coste total = suma de impactos por grupo. Moduladores: crisis fiscal, inflación alta, Capital Político previo alto y transición gradual reducen el coste.</t>
  </si>
  <si>
    <t xml:space="preserve">Reforma</t>
  </si>
  <si>
    <t xml:space="preserve">Activos</t>
  </si>
  <si>
    <t xml:space="preserve">Jubilados</t>
  </si>
  <si>
    <t xml:space="preserve">Empresas</t>
  </si>
  <si>
    <t xml:space="preserve">Género</t>
  </si>
  <si>
    <t xml:space="preserve">Privilegios</t>
  </si>
  <si>
    <t xml:space="preserve">Coste base</t>
  </si>
  <si>
    <t xml:space="preserve">Moduladores clave</t>
  </si>
  <si>
    <t xml:space="preserve">Subir edad jubilación hombres +2</t>
  </si>
  <si>
    <t xml:space="preserve">Crisis fiscal reduce 30-40%</t>
  </si>
  <si>
    <t xml:space="preserve">Subir edad jubilación mujeres +5</t>
  </si>
  <si>
    <t xml:space="preserve">Muy sensible; requiere compensación</t>
  </si>
  <si>
    <t xml:space="preserve">Igualar edad hombres/mujeres</t>
  </si>
  <si>
    <t xml:space="preserve">Costo de género alto corto plazo</t>
  </si>
  <si>
    <t xml:space="preserve">Subir años de aporte +5</t>
  </si>
  <si>
    <t xml:space="preserve">Afecta carreras interrumpidas</t>
  </si>
  <si>
    <t xml:space="preserve">Subir aporte trabajador +2pp</t>
  </si>
  <si>
    <t xml:space="preserve">Impacto inmediato en bolsillo</t>
  </si>
  <si>
    <t xml:space="preserve">Subir aporte empleador +2pp</t>
  </si>
  <si>
    <t xml:space="preserve">Empresas presionan; menos inversión</t>
  </si>
  <si>
    <t xml:space="preserve">Bajar tasa reemplazo -10pp</t>
  </si>
  <si>
    <t xml:space="preserve">Jubilados futuros se enojan mucho</t>
  </si>
  <si>
    <t xml:space="preserve">Bajar pensión máxima (techos)</t>
  </si>
  <si>
    <t xml:space="preserve">Más fácil: afecta altos ingresos</t>
  </si>
  <si>
    <t xml:space="preserve">Bajar pensión mínima</t>
  </si>
  <si>
    <t xml:space="preserve">Muy peligroso socialmente</t>
  </si>
  <si>
    <t xml:space="preserve">Reducir índice de actualización</t>
  </si>
  <si>
    <t xml:space="preserve">Pérdida de poder adquisitivo</t>
  </si>
  <si>
    <t xml:space="preserve">Eliminar jubilaciones de privilegio</t>
  </si>
  <si>
    <t xml:space="preserve">Popular en población; odio en afectados</t>
  </si>
  <si>
    <t xml:space="preserve">Aumentar cobertura / formalización</t>
  </si>
  <si>
    <t xml:space="preserve">Única reforma con Capital neto positivo</t>
  </si>
  <si>
    <t xml:space="preserve">Introducir capitalización parcial</t>
  </si>
  <si>
    <t xml:space="preserve">Transición de 20-40 años</t>
  </si>
  <si>
    <t xml:space="preserve">3. EFECTOS FISCALES ESTIMADOS POR REFORMA (orden de magnitud % PBI)</t>
  </si>
  <si>
    <t xml:space="preserve">Año 1-2</t>
  </si>
  <si>
    <t xml:space="preserve">Año 5</t>
  </si>
  <si>
    <t xml:space="preserve">Año 10</t>
  </si>
  <si>
    <t xml:space="preserve">Velocidad impacto</t>
  </si>
  <si>
    <t xml:space="preserve">Dificultad técnica</t>
  </si>
  <si>
    <t xml:space="preserve">Subir edad +2 años (ambos sexos)</t>
  </si>
  <si>
    <t xml:space="preserve">Media-Lenta</t>
  </si>
  <si>
    <t xml:space="preserve">Media</t>
  </si>
  <si>
    <t xml:space="preserve">Subir edad +5 años</t>
  </si>
  <si>
    <t xml:space="preserve">Lenta</t>
  </si>
  <si>
    <t xml:space="preserve">Baja</t>
  </si>
  <si>
    <t xml:space="preserve">Subir aportes totales +4pp</t>
  </si>
  <si>
    <t xml:space="preserve">Inmediata</t>
  </si>
  <si>
    <t xml:space="preserve">Bajar techos (pensión máxima)</t>
  </si>
  <si>
    <t xml:space="preserve">Rápida</t>
  </si>
  <si>
    <t xml:space="preserve">Reducir índice actualización a 0.7</t>
  </si>
  <si>
    <t xml:space="preserve">Eliminar privilegios (estimado)</t>
  </si>
  <si>
    <t xml:space="preserve">Alta (judicial)</t>
  </si>
  <si>
    <t xml:space="preserve">Formalización +8pp cobertura</t>
  </si>
  <si>
    <t xml:space="preserve">Alta (capacidad estatal)</t>
  </si>
  <si>
    <t xml:space="preserve">Paquete combinado moderado*</t>
  </si>
  <si>
    <t xml:space="preserve">Alta</t>
  </si>
  <si>
    <t xml:space="preserve">*Paquete combinado ejemplo: +2 años edad + 2pp aportes + bajar reemplazo 5pp + índice a 0.75. Coste político total estimado: -12 a -18 según contexto.</t>
  </si>
  <si>
    <t xml:space="preserve">4. REGLAS DE DISEÑO Y TRANSICIÓN (realismo del juego)</t>
  </si>
  <si>
    <t xml:space="preserve">1. Toda reforma que afecte a jubilados YA existentes tiene coste político multiplicado x1.5–2.0 (derechos adquiridos).</t>
  </si>
  <si>
    <t xml:space="preserve">2. Reformas solo para nuevos entrantes tienen coste político 40-60% menor, pero el efecto fiscal tarda más en llegar.</t>
  </si>
  <si>
    <t xml:space="preserve">3. Transición gradual (ej. subir edad 1 año cada 2 años) reduce el coste político ~30% y el riesgo de protestas.</t>
  </si>
  <si>
    <t xml:space="preserve">4. Compensaciones (bonos, jubilación parcial, incentivos a postergar) reducen coste político pero comen parte del ahorro fiscal.</t>
  </si>
  <si>
    <t xml:space="preserve">5. El coste político se reduce si: (a) crisis fiscal visible, (b) inflación alta, (c) Capital Político &gt;15, (d) se comunica como 'salvar el sistema'.</t>
  </si>
  <si>
    <t xml:space="preserve">6. Reformas de privilegios generan Capital Político POSITIVO en la población general, pero odio intenso en el grupo afectado.</t>
  </si>
  <si>
    <t xml:space="preserve">7. Subir aportes del empleador tiene menor coste político inmediato que subir los del trabajador, pero puede reducir inversión y empleo formal.</t>
  </si>
  <si>
    <t xml:space="preserve">8. La formalización (aumentar cobertura) es la única reforma que suele generar Capital Político neto positivo, pero requiere capacidad estatal real.</t>
  </si>
  <si>
    <t xml:space="preserve">9. Un superávit fiscal sostenido + inflación baja reduce el coste político de CUALQUIER reforma en 20-40%.</t>
  </si>
  <si>
    <t xml:space="preserve">10. Intentar varias reformas grandes al mismo tiempo multiplica el riesgo de protestas (efecto 'paquete de shock').</t>
  </si>
  <si>
    <t xml:space="preserve">DASHBOARD DE SOSTENIBILIDAD PREVISIONAL Y FISCAL</t>
  </si>
  <si>
    <t xml:space="preserve">Indicadores clave (se actualizan al cambiar parámetros)</t>
  </si>
  <si>
    <t xml:space="preserve">Indicador</t>
  </si>
  <si>
    <t xml:space="preserve">Valor actual</t>
  </si>
  <si>
    <t xml:space="preserve">Umbral de alerta</t>
  </si>
  <si>
    <t xml:space="preserve">Estado</t>
  </si>
  <si>
    <t xml:space="preserve">Ratio de dependencia</t>
  </si>
  <si>
    <t xml:space="preserve">&gt; 0.30</t>
  </si>
  <si>
    <t xml:space="preserve">Observar</t>
  </si>
  <si>
    <t xml:space="preserve">&gt; 0.35 o &lt; 0.20</t>
  </si>
  <si>
    <t xml:space="preserve">OK</t>
  </si>
  <si>
    <t xml:space="preserve">Tasa de reemplazo</t>
  </si>
  <si>
    <t xml:space="preserve">&gt; 0.80</t>
  </si>
  <si>
    <t xml:space="preserve">Aporte estatal estructural (% PBI)</t>
  </si>
  <si>
    <t xml:space="preserve">&gt; 0.03</t>
  </si>
  <si>
    <t xml:space="preserve">Alerta si alto</t>
  </si>
  <si>
    <t xml:space="preserve">Según amenaza</t>
  </si>
  <si>
    <t xml:space="preserve">Déficit/Superávit fiscal (% PBI)</t>
  </si>
  <si>
    <t xml:space="preserve">&lt; -0.03</t>
  </si>
  <si>
    <t xml:space="preserve">Crítico si déficit grande</t>
  </si>
  <si>
    <t xml:space="preserve">CÓMO USAR ESTE ARCHIVO EN EL JUEGO</t>
  </si>
  <si>
    <t xml:space="preserve">1. El diseñador o el jugador modifica los inputs amarillos en 'Parámetros Sistema'.</t>
  </si>
  <si>
    <t xml:space="preserve">2. La hoja 'Proyección 10 años' muestra la evolución automática del déficit previsional.</t>
  </si>
  <si>
    <t xml:space="preserve">3. 'Fórmulas Economía' explica cómo el déficit previsional alimenta inflación y tipo de cambio.</t>
  </si>
  <si>
    <t xml:space="preserve">4. 'Gasto Militar vs Previsional' ayuda a balancear las dos grandes rigideces del presupuesto.</t>
  </si>
  <si>
    <t xml:space="preserve">5. 'Reformas y Capital Político' da el menú de opciones costosas pero necesarias.</t>
  </si>
  <si>
    <t xml:space="preserve">6. El Dashboard resume el estado de salud del sistema.</t>
  </si>
  <si>
    <t xml:space="preserve">CALCULADORA DE IMPACTO DE UNA REFORMA PREVISIONAL</t>
  </si>
  <si>
    <t xml:space="preserve">Modifica los valores amarillos. La calculadora estima efecto fiscal a 10 años y coste político (base y final con moduladores).</t>
  </si>
  <si>
    <t xml:space="preserve">PARÁMETROS DE LA REFORMA A SIMULAR</t>
  </si>
  <si>
    <t xml:space="preserve">Variable</t>
  </si>
  <si>
    <t xml:space="preserve">Valor base</t>
  </si>
  <si>
    <t xml:space="preserve">Nuevo valor</t>
  </si>
  <si>
    <t xml:space="preserve">Cambio (Δ)</t>
  </si>
  <si>
    <t xml:space="preserve">Peso relativo</t>
  </si>
  <si>
    <t xml:space="preserve">Δ Edad jubilación promedio (años)</t>
  </si>
  <si>
    <t xml:space="preserve">Δ Tasa aporte total (pp decimales)</t>
  </si>
  <si>
    <t xml:space="preserve">Δ Tasa de reemplazo (pp decimales)</t>
  </si>
  <si>
    <t xml:space="preserve">Δ Índice actualización (pp)</t>
  </si>
  <si>
    <t xml:space="preserve">Δ Cobertura formalización (pp)</t>
  </si>
  <si>
    <t xml:space="preserve">Eliminación privilegios (0=no / 1=sí)</t>
  </si>
  <si>
    <t xml:space="preserve">RESULTADOS ESTIMADOS</t>
  </si>
  <si>
    <t xml:space="preserve">Efecto fiscal estimado a 10 años (% PBI)</t>
  </si>
  <si>
    <t xml:space="preserve">Coste Capital Político estimado (base)</t>
  </si>
  <si>
    <t xml:space="preserve">Riesgo de protestas (escala 0-10)</t>
  </si>
  <si>
    <t xml:space="preserve">MODULADORES DE COSTE POLÍTICO</t>
  </si>
  <si>
    <t xml:space="preserve">¿Hay crisis fiscal visible? (1=sí / 0=no)</t>
  </si>
  <si>
    <t xml:space="preserve">¿Inflación anual &gt; 8%? (1=sí / 0=no)</t>
  </si>
  <si>
    <t xml:space="preserve">Capital Político actual del gobierno</t>
  </si>
  <si>
    <t xml:space="preserve">¿Transición gradual? (1=sí / 0=no)</t>
  </si>
  <si>
    <t xml:space="preserve">COSTE POLÍTICO FINAL (después de moduladores)</t>
  </si>
  <si>
    <t xml:space="preserve">Interpretación del coste final:</t>
  </si>
  <si>
    <t xml:space="preserve">  0 a -3   → Reforma relativamente barata políticamente</t>
  </si>
  <si>
    <t xml:space="preserve"> -3 a -7   → Coste significativo, requiere Capital Político sólido</t>
  </si>
  <si>
    <t xml:space="preserve"> -7 a -12  → Reforma dura, solo viable con crisis o gran capital</t>
  </si>
  <si>
    <t xml:space="preserve"> &lt; -12     → Paquete de shock, alto riesgo de crisis política</t>
  </si>
  <si>
    <t xml:space="preserve">NOTA: Fórmulas de orden de magnitud para diseño del juego. El efecto real depende del punto de partida demográfico y de la velocidad de transición.</t>
  </si>
  <si>
    <t xml:space="preserve">CALCULADORA RÁPIDA DE EFECTO DINÁMICO DE BAJA DE IMPUESTOS</t>
  </si>
  <si>
    <t xml:space="preserve">Parámetros de simulación (editar amarillos)</t>
  </si>
  <si>
    <t xml:space="preserve">Carga tributaria actual (% PBI)</t>
  </si>
  <si>
    <t xml:space="preserve">Reducción de carga tributaria (pp)</t>
  </si>
  <si>
    <t xml:space="preserve">Elasticidad recaudación / PBI</t>
  </si>
  <si>
    <t xml:space="preserve">Recaudación actual (base 100)</t>
  </si>
  <si>
    <t xml:space="preserve">RESULTADOS</t>
  </si>
  <si>
    <t xml:space="preserve">Pérdida estática de recaudación (%)</t>
  </si>
  <si>
    <t xml:space="preserve">ΔPBI estimado por la baja de impuestos</t>
  </si>
  <si>
    <t xml:space="preserve">Recuperación dinámica de recaudación vía crecimiento (%)</t>
  </si>
  <si>
    <t xml:space="preserve">Efecto neto estimado a mediano plazo (% recaudación)</t>
  </si>
  <si>
    <t xml:space="preserve">Interpretación: si el efecto neto es cercano a 0 o positivo, la baja de impuestos se autopaga (o casi) a mediano plazo vía mayor actividad económica.</t>
  </si>
  <si>
    <t xml:space="preserve">Nota: esta calculadora es simplificada (no incluye formalización ni lags). El efecto real depende del contexto macro y de la credibilidad de la baja.</t>
  </si>
  <si>
    <t xml:space="preserve">ANÁLISIS DEL IMPACTO EN EL EMPLEO</t>
  </si>
  <si>
    <t xml:space="preserve">Cómo las decisiones fiscales, previsionales y de reforma afectan el empleo formal, informal, desempleo y la participación laboral en el juego.</t>
  </si>
  <si>
    <t xml:space="preserve">1. PRINCIPALES CANALES DE IMPACTO SOBRE EL EMPLEO</t>
  </si>
  <si>
    <t xml:space="preserve">Canal</t>
  </si>
  <si>
    <t xml:space="preserve">Dirección del efecto</t>
  </si>
  <si>
    <t xml:space="preserve">Magnitud típica</t>
  </si>
  <si>
    <t xml:space="preserve">Velocidad</t>
  </si>
  <si>
    <t xml:space="preserve">Grupo más afectado</t>
  </si>
  <si>
    <t xml:space="preserve">Notas de diseño</t>
  </si>
  <si>
    <t xml:space="preserve">Subir tasa de aporte trabajador</t>
  </si>
  <si>
    <t xml:space="preserve">↓ Empleo formal / ↑ Informalidad</t>
  </si>
  <si>
    <t xml:space="preserve">Media-Alta</t>
  </si>
  <si>
    <t xml:space="preserve">Trabajadores de baja calificación</t>
  </si>
  <si>
    <t xml:space="preserve">Reduce poder adquisitivo y formalidad</t>
  </si>
  <si>
    <t xml:space="preserve">Subir tasa de aporte empleador</t>
  </si>
  <si>
    <t xml:space="preserve">↓ Contratación formal / ↑ Informalidad</t>
  </si>
  <si>
    <t xml:space="preserve">PyMEs y sectores intensivos en mano de obra</t>
  </si>
  <si>
    <t xml:space="preserve">Aumenta costo laboral no salarial</t>
  </si>
  <si>
    <t xml:space="preserve">Subir edad de jubilación</t>
  </si>
  <si>
    <t xml:space="preserve">↑ Participación laboral (PEA)</t>
  </si>
  <si>
    <t xml:space="preserve">Lenta (años)</t>
  </si>
  <si>
    <t xml:space="preserve">Trabajadores 60-65</t>
  </si>
  <si>
    <t xml:space="preserve">Más gente activa → más oferta laboral</t>
  </si>
  <si>
    <t xml:space="preserve">Bajar tasa de reemplazo</t>
  </si>
  <si>
    <t xml:space="preserve">↑ Oferta laboral (gente posterga retiro)</t>
  </si>
  <si>
    <t xml:space="preserve">Baja-Media</t>
  </si>
  <si>
    <t xml:space="preserve">Próximos a jubilarse</t>
  </si>
  <si>
    <t xml:space="preserve">Incentivo a seguir trabajando</t>
  </si>
  <si>
    <t xml:space="preserve">Formalización / ↑ cobertura</t>
  </si>
  <si>
    <t xml:space="preserve">↑ Empleo formal / ↓ Informalidad</t>
  </si>
  <si>
    <t xml:space="preserve">Informales y autónomos</t>
  </si>
  <si>
    <t xml:space="preserve">Requiere capacidad de fiscalización</t>
  </si>
  <si>
    <t xml:space="preserve">Crecimiento del PBI</t>
  </si>
  <si>
    <t xml:space="preserve">↑ Empleo total (elasticidad ~0.5)</t>
  </si>
  <si>
    <t xml:space="preserve">Todos los sectores</t>
  </si>
  <si>
    <t xml:space="preserve">Principal driver de creación de empleo</t>
  </si>
  <si>
    <t xml:space="preserve">Inflación alta</t>
  </si>
  <si>
    <t xml:space="preserve">↓ Empleo real / ↑ Informalidad</t>
  </si>
  <si>
    <t xml:space="preserve">Asalariados formales</t>
  </si>
  <si>
    <t xml:space="preserve">Erosión de salarios reales</t>
  </si>
  <si>
    <t xml:space="preserve">Gasto militar alto</t>
  </si>
  <si>
    <t xml:space="preserve">↑ Empleo defensa / ↓ otros sectores</t>
  </si>
  <si>
    <t xml:space="preserve">Sector público y proveedores</t>
  </si>
  <si>
    <t xml:space="preserve">Oportunidad de coste fiscal</t>
  </si>
  <si>
    <t xml:space="preserve">Superávit fiscal sostenido</t>
  </si>
  <si>
    <t xml:space="preserve">↑ Confianza → ↑ Inversión → ↑ Empleo</t>
  </si>
  <si>
    <t xml:space="preserve">Sector privado</t>
  </si>
  <si>
    <t xml:space="preserve">Efecto indirecto positivo</t>
  </si>
  <si>
    <t xml:space="preserve">Déficit alto + deuda creciente</t>
  </si>
  <si>
    <t xml:space="preserve">↓ Inversión privada → ↓ Empleo</t>
  </si>
  <si>
    <t xml:space="preserve">Crowding-out y riesgo país</t>
  </si>
  <si>
    <t xml:space="preserve">2. FÓRMULAS SIMPLIFICADAS DE IMPACTO EN EMPLEO (versión de juego)</t>
  </si>
  <si>
    <t xml:space="preserve">Cambio en Empleo Formal (%) ≈</t>
  </si>
  <si>
    <t xml:space="preserve">ε × ΔPBI  −  α × Δ(Tasa Aporte Total)  −  β × Δ(Costo Laboral)  +  γ × ΔCobertura  +  δ × Δ(Edad Jubilación efectiva)</t>
  </si>
  <si>
    <t xml:space="preserve">Donde:</t>
  </si>
  <si>
    <t xml:space="preserve">ε (elasticidad empleo-PBI) ≈ 0.4 – 0.6  |  α ≈ 0.8 – 1.5  |  β ≈ 0.6 – 1.2  |  γ ≈ 0.3 – 0.7  |  δ ≈ 0.1 – 0.25 por año de edad</t>
  </si>
  <si>
    <t xml:space="preserve">Cambio en Tasa de Desempleo ≈ − (Cambio en Empleo Formal + Cambio en Informalidad neta) / PEA</t>
  </si>
  <si>
    <t xml:space="preserve">Cambio en Informalidad ≈  −ΔCobertura  +  θ × Δ(Aportes)  +  efectos de crecimiento y regulación</t>
  </si>
  <si>
    <t xml:space="preserve">3. TRADE-OFFS CLAVE PARA EL JUGADOR</t>
  </si>
  <si>
    <t xml:space="preserve">• Subir aportes mejora la caja previsional YA, pero destruye empleo formal y puede aumentar la informalidad → menos recaudación futura y más presión social.</t>
  </si>
  <si>
    <t xml:space="preserve">• Formalizar el empleo es win-win a largo plazo (más aportes + más Capital Político), pero requiere ministro de Trabajo/Economía competente y tiempo.</t>
  </si>
  <si>
    <t xml:space="preserve">• Subir la edad de jubilación aumenta la oferta laboral (más gente activa) y mejora el sistema previsional, pero genera rechazo en los afectados.</t>
  </si>
  <si>
    <t xml:space="preserve">• Un paquete de reforma previsional agresivo puede bajar el desempleo estructural a mediano plazo si se combina con crecimiento, pero en el corto plazo puede subir el desempleo si destruye formalidad.</t>
  </si>
  <si>
    <t xml:space="preserve">• El gasto militar crea empleo directo en defensa y proveedores, pero si se financia con déficit o impuestos altos, desplaza empleo privado.</t>
  </si>
  <si>
    <t xml:space="preserve">• Superávit fiscal + baja inflación es el mejor entorno para que el empleo formal crezca de forma sostenida.</t>
  </si>
  <si>
    <t xml:space="preserve">4. IMPACTO DEL EMPLEO EN CAPITAL POLÍTICO Y VOTO</t>
  </si>
  <si>
    <t xml:space="preserve">El desempleo y la informalidad son de los drivers más fuertes del voto y del Capital Político:</t>
  </si>
  <si>
    <t xml:space="preserve">Evento</t>
  </si>
  <si>
    <t xml:space="preserve">Impacto en Capital Político</t>
  </si>
  <si>
    <t xml:space="preserve">Intensidad percibida</t>
  </si>
  <si>
    <t xml:space="preserve">Suba de 1 pp en desempleo abierto</t>
  </si>
  <si>
    <t xml:space="preserve">−1.5 a −3.0 Capital Político</t>
  </si>
  <si>
    <t xml:space="preserve">Muy alto rechazo</t>
  </si>
  <si>
    <t xml:space="preserve">Baja de 1 pp en desempleo</t>
  </si>
  <si>
    <t xml:space="preserve">+1.0 a +2.0 Capital Político</t>
  </si>
  <si>
    <t xml:space="preserve">Fuerte premio político</t>
  </si>
  <si>
    <t xml:space="preserve">Suba de informalidad visible</t>
  </si>
  <si>
    <t xml:space="preserve">−0.5 a −1.5 (menos que desempleo)</t>
  </si>
  <si>
    <t xml:space="preserve">Enojo moderado</t>
  </si>
  <si>
    <t xml:space="preserve">Creación de empleo formal neto</t>
  </si>
  <si>
    <t xml:space="preserve">+1.0 a +2.5 según magnitud</t>
  </si>
  <si>
    <t xml:space="preserve">Uno de los mejores generadores de capital</t>
  </si>
  <si>
    <t xml:space="preserve">Destrucción de empleo formal por reforma</t>
  </si>
  <si>
    <t xml:space="preserve">−2.0 a −5.0 según tamaño</t>
  </si>
  <si>
    <t xml:space="preserve">Puede tumbar gobiernos</t>
  </si>
  <si>
    <t xml:space="preserve">5. RECOMENDACIÓN DE DISEÑO</t>
  </si>
  <si>
    <t xml:space="preserve">El empleo no debe ser un indicador secundario. Debe ser uno de los 3-4 indicadores que más mueven la aprobación ciudadana (junto con inflación, poder adquisitivo y seguridad).</t>
  </si>
  <si>
    <t xml:space="preserve">Las reformas previsionales deben mostrar claramente el trade-off: mejor sostenibilidad fiscal vs riesgo de destrucción de empleo formal en el corto plazo.</t>
  </si>
  <si>
    <t xml:space="preserve">Un buen ministro de Trabajo o Economía puede mitigar parte del daño de subas de aportes (mejor fiscalización + incentivos a la formalización).</t>
  </si>
  <si>
    <t xml:space="preserve">6. IMPACTO EN SALARIOS (vinculado a empleo y previsional)</t>
  </si>
  <si>
    <t xml:space="preserve">Factor</t>
  </si>
  <si>
    <t xml:space="preserve">Efecto en salarios reales</t>
  </si>
  <si>
    <t xml:space="preserve">Efecto en salarios nominales</t>
  </si>
  <si>
    <t xml:space="preserve">Notas</t>
  </si>
  <si>
    <t xml:space="preserve">Suba de aportes del trabajador</t>
  </si>
  <si>
    <t xml:space="preserve">↓ Fuerte (neto)</t>
  </si>
  <si>
    <t xml:space="preserve">Neutro o leve ↓</t>
  </si>
  <si>
    <t xml:space="preserve">El trabajador siente la pérdida neta de inmediato</t>
  </si>
  <si>
    <t xml:space="preserve">Suba de aportes del empleador</t>
  </si>
  <si>
    <t xml:space="preserve">Leve ↓ (si se traslada)</t>
  </si>
  <si>
    <t xml:space="preserve">Posible ↓ o estancamiento</t>
  </si>
  <si>
    <t xml:space="preserve">Empresas pueden moderar aumentos salariales</t>
  </si>
  <si>
    <t xml:space="preserve">↑ Empleo formal / formalización</t>
  </si>
  <si>
    <t xml:space="preserve">↑ Presión alcista</t>
  </si>
  <si>
    <t xml:space="preserve">↑</t>
  </si>
  <si>
    <t xml:space="preserve">Más demanda de trabajo formal → salarios suben</t>
  </si>
  <si>
    <t xml:space="preserve">↑ Desempleo</t>
  </si>
  <si>
    <t xml:space="preserve">↓ Fuerte</t>
  </si>
  <si>
    <t xml:space="preserve">↓ o estancamiento</t>
  </si>
  <si>
    <t xml:space="preserve">Debilita poder de negociación</t>
  </si>
  <si>
    <t xml:space="preserve">Deflación</t>
  </si>
  <si>
    <t xml:space="preserve">↑ Reales (si nominales se mantienen)</t>
  </si>
  <si>
    <t xml:space="preserve">Estables o leves ↓</t>
  </si>
  <si>
    <t xml:space="preserve">Poder adquisitivo mejora automáticamente</t>
  </si>
  <si>
    <t xml:space="preserve">Inflación alta no indexada</t>
  </si>
  <si>
    <t xml:space="preserve">↑ (pero real cae)</t>
  </si>
  <si>
    <t xml:space="preserve">Uno de los peores para el trabajador</t>
  </si>
  <si>
    <t xml:space="preserve">Crecimiento de productividad</t>
  </si>
  <si>
    <t xml:space="preserve">↑ Reales</t>
  </si>
  <si>
    <t xml:space="preserve">El canal más sano y sostenible</t>
  </si>
  <si>
    <t xml:space="preserve">Suba edad de jubilación</t>
  </si>
  <si>
    <t xml:space="preserve">Leve ↓ presión (más oferta laboral)</t>
  </si>
  <si>
    <t xml:space="preserve">Leve ↓</t>
  </si>
  <si>
    <t xml:space="preserve">Más trabajadores activos → más oferta</t>
  </si>
  <si>
    <t xml:space="preserve">7. LÓGICA DE DEFLACIÓN + RESERVAS + SUPERÁVIT PASIVO</t>
  </si>
  <si>
    <t xml:space="preserve">REGLA DE DISEÑO IMPLEMENTADA:</t>
  </si>
  <si>
    <t xml:space="preserve">• Si Inflación &lt; 0 (Deflación): Reservas Internacionales crecen de forma PASIVA.</t>
  </si>
  <si>
    <t xml:space="preserve">  Fórmula aproximada: ΔReservas_pasivo ≈ |π| × factor (recomendado 1.0–1.5% de reservas por cada 1% de deflación anual).</t>
  </si>
  <si>
    <t xml:space="preserve">• Si además existe Superávit fiscal: el superávit NO decrece de forma pasiva. Se preserva en términos nominales y se fortalece en términos reales.</t>
  </si>
  <si>
    <t xml:space="preserve">• Bajo deflación el poder adquisitivo de los salarios (si se mantienen nominales) aumenta automáticamente → mejora la aprobación ciudadana y el Capital Político.</t>
  </si>
  <si>
    <t xml:space="preserve">• Riesgo de deflación: si es profunda y prolongada puede generar expectativas de caída de precios → postergación de consumo e inversión (trampa de liquidez suave).</t>
  </si>
  <si>
    <t xml:space="preserve">8. LAS 3 PROPUESTAS ADICIONALES DE LÓGICA DE EMPLEO (desarrolladas)</t>
  </si>
  <si>
    <t xml:space="preserve">A) Interacción Empleo ↔ Sectores del PBI</t>
  </si>
  <si>
    <t xml:space="preserve">Cada sector tiene distinta intensidad de empleo y formalidad. Minería/Energía: alto valor, bajo empleo. Industria: medio-alto empleo formal. Servicios/Turismo: alto empleo, más informalidad posible. Tecnología: alto salario, bajo volumen. Gasto estatal: empleo público rígido. El jugador al impulsar un sector mueve el empleo de forma diferenciada.</t>
  </si>
  <si>
    <t xml:space="preserve">B) Sistema de Incentivos a la Formalización</t>
  </si>
  <si>
    <t xml:space="preserve">Acciones disponibles: reducción temporal de aportes para nuevos formales (1-3 años), créditos fiscales por formalización, simplificación burocrática (requiere ministro competente), amnistías parciales. Coste fiscal corto plazo, ganancia de cobertura y Capital Político a mediano plazo. Riesgo de abuso si la fiscalización es débil.</t>
  </si>
  <si>
    <t xml:space="preserve">C) Rol del Ministro de Trabajo / Economía en modular impactos</t>
  </si>
  <si>
    <t xml:space="preserve">Competencia del ministro (0-100) actúa como multiplicador: alto nivel reduce el daño de subas de aportes sobre el empleo formal (mejor fiscalización + diseño de incentivos), acelera formalización y mitiga protestas. Ministro débil amplifica los efectos negativos. Destituir/nombrar tiene coste de Capital Político según lealtad y momento.</t>
  </si>
  <si>
    <t xml:space="preserve">9. IMPACTO DEL CRECIMIENTO / CONTRACCIÓN DE LA ECONOMÍA SOBRE LA RECAUDACIÓN</t>
  </si>
  <si>
    <t xml:space="preserve">El tamaño de la economía (PBI) es el principal determinante de la recaudación tributaria y previsional.</t>
  </si>
  <si>
    <t xml:space="preserve">Regla de diseño implementada:</t>
  </si>
  <si>
    <t xml:space="preserve">• Crecimiento del PBI → ↑ recaudación automática (elasticidad &gt; 1).</t>
  </si>
  <si>
    <t xml:space="preserve">• Contracción del PBI → ↓ recaudación más que proporcional (dificulta el superávit y empeora el déficit).</t>
  </si>
  <si>
    <t xml:space="preserve">• Por eso bajar impuestos tiene sentido a mediano plazo: la mayor actividad económica amplía la base imponible y puede compensar la menor tasa.</t>
  </si>
  <si>
    <t xml:space="preserve">• Bajar impuestos también favorece la formalización → más empleo formal → más aportes previsionales + más recaudación de IVA/ganancias.</t>
  </si>
  <si>
    <t xml:space="preserve">• El jugador debe sentir el trade-off temporal: dolor corto plazo (menor recaudación) vs beneficio medio plazo (más crecimiento + más formalidad + posible recuperación de la caja).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</si>
</sst>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0"/>
    <numFmt numFmtId="167" formatCode="0.00%"/>
    <numFmt numFmtId="168" formatCode="#,##0.00"/>
    <numFmt numFmtId="169" formatCode="0.000"/>
    <numFmt numFmtId="170" formatCode="0.0"/>
    <numFmt numFmtId="171" formatCode="\+0.0;\-0.0;0"/>
    <numFmt numFmtId="172" formatCode="\+0.00%;\-0.00%;0%"/>
    <numFmt numFmtId="173" formatCode="\+0;\-0;0"/>
    <numFmt numFmtId="174" formatCode="0%"/>
    <numFmt numFmtId="175" formatCode="\+0.00%;\-0.00%;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0066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rgb="FFF8CBAD"/>
        <bgColor rgb="FFC0C0C0"/>
      </patternFill>
    </fill>
    <fill>
      <patternFill patternType="solid">
        <fgColor rgb="FFE2EFDA"/>
        <bgColor rgb="FFFFFFCC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5" min="4" style="1" width="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true" outlineLevel="0" collapsed="false">
      <c r="A6" s="6" t="s">
        <v>6</v>
      </c>
      <c r="B6" s="7" t="n">
        <v>65</v>
      </c>
      <c r="C6" s="8" t="s">
        <v>7</v>
      </c>
    </row>
    <row r="7" customFormat="false" ht="15" hidden="false" customHeight="true" outlineLevel="0" collapsed="false">
      <c r="A7" s="6" t="s">
        <v>8</v>
      </c>
      <c r="B7" s="7" t="n">
        <v>60</v>
      </c>
      <c r="C7" s="8" t="s">
        <v>7</v>
      </c>
    </row>
    <row r="8" customFormat="false" ht="15" hidden="false" customHeight="true" outlineLevel="0" collapsed="false">
      <c r="A8" s="6" t="s">
        <v>9</v>
      </c>
      <c r="B8" s="7" t="n">
        <v>63</v>
      </c>
      <c r="C8" s="8" t="s">
        <v>7</v>
      </c>
    </row>
    <row r="9" customFormat="false" ht="15" hidden="false" customHeight="true" outlineLevel="0" collapsed="false">
      <c r="A9" s="6" t="s">
        <v>10</v>
      </c>
      <c r="B9" s="9" t="n">
        <v>77.5</v>
      </c>
      <c r="C9" s="8" t="s">
        <v>7</v>
      </c>
    </row>
    <row r="10" customFormat="false" ht="15" hidden="false" customHeight="true" outlineLevel="0" collapsed="false">
      <c r="A10" s="6" t="s">
        <v>11</v>
      </c>
      <c r="B10" s="9" t="n">
        <v>18.2</v>
      </c>
      <c r="C10" s="8" t="s">
        <v>7</v>
      </c>
    </row>
    <row r="11" customFormat="false" ht="15" hidden="false" customHeight="true" outlineLevel="0" collapsed="false">
      <c r="A11" s="6" t="s">
        <v>12</v>
      </c>
      <c r="B11" s="10" t="n">
        <v>1.8</v>
      </c>
      <c r="C11" s="8" t="s">
        <v>13</v>
      </c>
    </row>
    <row r="12" customFormat="false" ht="15" hidden="false" customHeight="true" outlineLevel="0" collapsed="false">
      <c r="A12" s="6" t="s">
        <v>14</v>
      </c>
      <c r="B12" s="10" t="n">
        <v>0.008</v>
      </c>
      <c r="C12" s="8" t="s">
        <v>15</v>
      </c>
    </row>
    <row r="13" customFormat="false" ht="15" hidden="false" customHeight="true" outlineLevel="0" collapsed="false">
      <c r="A13" s="6" t="s">
        <v>16</v>
      </c>
      <c r="B13" s="9" t="n">
        <v>45</v>
      </c>
      <c r="C13" s="8" t="s">
        <v>17</v>
      </c>
    </row>
    <row r="14" customFormat="false" ht="15" hidden="false" customHeight="true" outlineLevel="0" collapsed="false">
      <c r="A14" s="6" t="s">
        <v>18</v>
      </c>
      <c r="B14" s="10" t="n">
        <v>0.65</v>
      </c>
      <c r="C14" s="8" t="s">
        <v>19</v>
      </c>
    </row>
    <row r="15" customFormat="false" ht="15" hidden="false" customHeight="true" outlineLevel="0" collapsed="false">
      <c r="A15" s="6" t="s">
        <v>20</v>
      </c>
      <c r="B15" s="10" t="n">
        <v>0.12</v>
      </c>
      <c r="C15" s="8" t="s">
        <v>19</v>
      </c>
    </row>
    <row r="16" customFormat="false" ht="15" hidden="false" customHeight="true" outlineLevel="0" collapsed="false">
      <c r="A16" s="6" t="s">
        <v>21</v>
      </c>
      <c r="B16" s="10" t="n">
        <v>0.22</v>
      </c>
      <c r="C16" s="8" t="s">
        <v>22</v>
      </c>
    </row>
    <row r="18" customFormat="false" ht="15" hidden="false" customHeight="true" outlineLevel="0" collapsed="false">
      <c r="A18" s="4" t="s">
        <v>23</v>
      </c>
      <c r="B18" s="4"/>
      <c r="C18" s="4"/>
    </row>
    <row r="19" customFormat="false" ht="15" hidden="false" customHeight="true" outlineLevel="0" collapsed="false">
      <c r="A19" s="5" t="s">
        <v>3</v>
      </c>
      <c r="B19" s="5" t="s">
        <v>4</v>
      </c>
      <c r="C19" s="5" t="s">
        <v>5</v>
      </c>
    </row>
    <row r="20" customFormat="false" ht="15" hidden="false" customHeight="true" outlineLevel="0" collapsed="false">
      <c r="A20" s="6" t="s">
        <v>24</v>
      </c>
      <c r="B20" s="10" t="n">
        <v>0.11</v>
      </c>
      <c r="C20" s="8" t="s">
        <v>25</v>
      </c>
    </row>
    <row r="21" customFormat="false" ht="15" hidden="false" customHeight="true" outlineLevel="0" collapsed="false">
      <c r="A21" s="6" t="s">
        <v>26</v>
      </c>
      <c r="B21" s="10" t="n">
        <v>0.16</v>
      </c>
      <c r="C21" s="8" t="s">
        <v>25</v>
      </c>
    </row>
    <row r="22" customFormat="false" ht="15" hidden="false" customHeight="true" outlineLevel="0" collapsed="false">
      <c r="A22" s="6" t="s">
        <v>27</v>
      </c>
      <c r="B22" s="11" t="n">
        <f aca="false">B20+B21</f>
        <v>0.27</v>
      </c>
      <c r="C22" s="8" t="s">
        <v>28</v>
      </c>
    </row>
    <row r="23" customFormat="false" ht="15" hidden="false" customHeight="true" outlineLevel="0" collapsed="false">
      <c r="A23" s="6" t="s">
        <v>29</v>
      </c>
      <c r="B23" s="10" t="n">
        <v>0.65</v>
      </c>
      <c r="C23" s="8" t="s">
        <v>30</v>
      </c>
    </row>
    <row r="24" customFormat="false" ht="15" hidden="false" customHeight="true" outlineLevel="0" collapsed="false">
      <c r="A24" s="6" t="s">
        <v>31</v>
      </c>
      <c r="B24" s="10" t="n">
        <v>0.4</v>
      </c>
      <c r="C24" s="8" t="s">
        <v>15</v>
      </c>
    </row>
    <row r="25" customFormat="false" ht="15" hidden="false" customHeight="true" outlineLevel="0" collapsed="false">
      <c r="A25" s="6" t="s">
        <v>32</v>
      </c>
      <c r="B25" s="10" t="n">
        <v>1.5</v>
      </c>
      <c r="C25" s="8" t="s">
        <v>15</v>
      </c>
    </row>
    <row r="26" customFormat="false" ht="15" hidden="false" customHeight="true" outlineLevel="0" collapsed="false">
      <c r="A26" s="6" t="s">
        <v>33</v>
      </c>
      <c r="B26" s="10" t="n">
        <v>0.8</v>
      </c>
      <c r="C26" s="8" t="s">
        <v>34</v>
      </c>
    </row>
    <row r="27" customFormat="false" ht="15" hidden="false" customHeight="true" outlineLevel="0" collapsed="false">
      <c r="A27" s="6" t="s">
        <v>35</v>
      </c>
      <c r="B27" s="10" t="n">
        <v>0.72</v>
      </c>
      <c r="C27" s="8" t="s">
        <v>15</v>
      </c>
    </row>
    <row r="28" customFormat="false" ht="15" hidden="false" customHeight="true" outlineLevel="0" collapsed="false">
      <c r="A28" s="6" t="s">
        <v>36</v>
      </c>
      <c r="B28" s="10" t="n">
        <v>0.18</v>
      </c>
      <c r="C28" s="8" t="s">
        <v>15</v>
      </c>
    </row>
    <row r="29" customFormat="false" ht="15" hidden="false" customHeight="true" outlineLevel="0" collapsed="false">
      <c r="A29" s="6" t="s">
        <v>37</v>
      </c>
      <c r="B29" s="10" t="n">
        <v>0.025</v>
      </c>
      <c r="C29" s="8" t="s">
        <v>38</v>
      </c>
    </row>
    <row r="31" customFormat="false" ht="15" hidden="false" customHeight="true" outlineLevel="0" collapsed="false">
      <c r="A31" s="4" t="s">
        <v>39</v>
      </c>
      <c r="B31" s="4"/>
      <c r="C31" s="4"/>
    </row>
    <row r="32" customFormat="false" ht="15" hidden="false" customHeight="true" outlineLevel="0" collapsed="false">
      <c r="A32" s="5" t="s">
        <v>3</v>
      </c>
      <c r="B32" s="5" t="s">
        <v>4</v>
      </c>
      <c r="C32" s="5" t="s">
        <v>5</v>
      </c>
    </row>
    <row r="33" customFormat="false" ht="15" hidden="false" customHeight="true" outlineLevel="0" collapsed="false">
      <c r="A33" s="6" t="s">
        <v>40</v>
      </c>
      <c r="B33" s="12" t="n">
        <v>650000</v>
      </c>
      <c r="C33" s="8" t="s">
        <v>17</v>
      </c>
    </row>
    <row r="34" customFormat="false" ht="15" hidden="false" customHeight="true" outlineLevel="0" collapsed="false">
      <c r="A34" s="6" t="s">
        <v>41</v>
      </c>
      <c r="B34" s="10" t="n">
        <v>0.025</v>
      </c>
      <c r="C34" s="8" t="s">
        <v>42</v>
      </c>
    </row>
    <row r="35" customFormat="false" ht="15" hidden="false" customHeight="true" outlineLevel="0" collapsed="false">
      <c r="A35" s="6" t="s">
        <v>43</v>
      </c>
      <c r="B35" s="10" t="n">
        <v>0.045</v>
      </c>
      <c r="C35" s="8" t="s">
        <v>15</v>
      </c>
    </row>
    <row r="36" customFormat="false" ht="15" hidden="false" customHeight="true" outlineLevel="0" collapsed="false">
      <c r="A36" s="6" t="s">
        <v>44</v>
      </c>
      <c r="B36" s="12" t="n">
        <v>18500</v>
      </c>
      <c r="C36" s="8" t="s">
        <v>45</v>
      </c>
    </row>
    <row r="37" customFormat="false" ht="15" hidden="false" customHeight="true" outlineLevel="0" collapsed="false">
      <c r="A37" s="6" t="s">
        <v>46</v>
      </c>
      <c r="B37" s="10" t="n">
        <v>0.015</v>
      </c>
      <c r="C37" s="8" t="s">
        <v>15</v>
      </c>
    </row>
    <row r="38" customFormat="false" ht="15" hidden="false" customHeight="true" outlineLevel="0" collapsed="false">
      <c r="A38" s="6" t="s">
        <v>47</v>
      </c>
      <c r="B38" s="12" t="n">
        <v>950</v>
      </c>
      <c r="C38" s="8" t="s">
        <v>48</v>
      </c>
    </row>
    <row r="39" customFormat="false" ht="15" hidden="false" customHeight="true" outlineLevel="0" collapsed="false">
      <c r="A39" s="6" t="s">
        <v>49</v>
      </c>
      <c r="B39" s="10" t="n">
        <v>0.018</v>
      </c>
      <c r="C39" s="8" t="s">
        <v>38</v>
      </c>
    </row>
    <row r="40" customFormat="false" ht="15" hidden="false" customHeight="true" outlineLevel="0" collapsed="false">
      <c r="A40" s="6" t="s">
        <v>50</v>
      </c>
      <c r="B40" s="10" t="n">
        <v>-0.015</v>
      </c>
      <c r="C40" s="8" t="s">
        <v>51</v>
      </c>
    </row>
    <row r="42" customFormat="false" ht="15" hidden="false" customHeight="true" outlineLevel="0" collapsed="false">
      <c r="A42" s="13" t="s">
        <v>52</v>
      </c>
    </row>
    <row r="43" customFormat="false" ht="15" hidden="false" customHeight="true" outlineLevel="0" collapsed="false">
      <c r="A43" s="1" t="s">
        <v>53</v>
      </c>
    </row>
    <row r="44" customFormat="false" ht="15" hidden="false" customHeight="true" outlineLevel="0" collapsed="false">
      <c r="A44" s="1" t="s">
        <v>54</v>
      </c>
    </row>
    <row r="45" customFormat="false" ht="15" hidden="false" customHeight="true" outlineLevel="0" collapsed="false">
      <c r="A45" s="1" t="s">
        <v>55</v>
      </c>
    </row>
    <row r="46" customFormat="false" ht="15" hidden="false" customHeight="true" outlineLevel="0" collapsed="false">
      <c r="A46" s="1" t="s">
        <v>56</v>
      </c>
    </row>
    <row r="47" customFormat="false" ht="15" hidden="false" customHeight="true" outlineLevel="0" collapsed="false">
      <c r="A47" s="1" t="s">
        <v>57</v>
      </c>
    </row>
    <row r="49" customFormat="false" ht="15" hidden="false" customHeight="true" outlineLevel="0" collapsed="false">
      <c r="A49" s="14" t="s">
        <v>58</v>
      </c>
      <c r="B49" s="14"/>
      <c r="C49" s="14"/>
    </row>
    <row r="50" customFormat="false" ht="15" hidden="false" customHeight="true" outlineLevel="0" collapsed="false">
      <c r="A50" s="15" t="s">
        <v>3</v>
      </c>
      <c r="B50" s="15" t="s">
        <v>4</v>
      </c>
      <c r="C50" s="15" t="s">
        <v>5</v>
      </c>
    </row>
    <row r="51" customFormat="false" ht="15" hidden="false" customHeight="true" outlineLevel="0" collapsed="false">
      <c r="A51" s="6" t="s">
        <v>59</v>
      </c>
      <c r="B51" s="10" t="n">
        <v>0.075</v>
      </c>
      <c r="C51" s="16" t="s">
        <v>60</v>
      </c>
    </row>
    <row r="52" customFormat="false" ht="15" hidden="false" customHeight="true" outlineLevel="0" collapsed="false">
      <c r="A52" s="6" t="s">
        <v>61</v>
      </c>
      <c r="B52" s="10" t="n">
        <v>0.42</v>
      </c>
      <c r="C52" s="16" t="s">
        <v>62</v>
      </c>
    </row>
    <row r="53" customFormat="false" ht="15" hidden="false" customHeight="true" outlineLevel="0" collapsed="false">
      <c r="A53" s="6" t="s">
        <v>63</v>
      </c>
      <c r="B53" s="10" t="n">
        <v>0.68</v>
      </c>
      <c r="C53" s="16" t="s">
        <v>15</v>
      </c>
    </row>
    <row r="54" customFormat="false" ht="15" hidden="false" customHeight="true" outlineLevel="0" collapsed="false">
      <c r="A54" s="6" t="s">
        <v>64</v>
      </c>
      <c r="B54" s="10" t="n">
        <v>0.55</v>
      </c>
      <c r="C54" s="16" t="s">
        <v>65</v>
      </c>
    </row>
    <row r="55" customFormat="false" ht="15" hidden="false" customHeight="true" outlineLevel="0" collapsed="false">
      <c r="A55" s="6" t="s">
        <v>66</v>
      </c>
      <c r="B55" s="10" t="n">
        <v>0.8</v>
      </c>
      <c r="C55" s="16" t="s">
        <v>67</v>
      </c>
    </row>
    <row r="56" customFormat="false" ht="15" hidden="false" customHeight="true" outlineLevel="0" collapsed="false">
      <c r="A56" s="6" t="s">
        <v>68</v>
      </c>
      <c r="B56" s="10" t="n">
        <v>0.35</v>
      </c>
      <c r="C56" s="16" t="s">
        <v>69</v>
      </c>
    </row>
    <row r="57" customFormat="false" ht="15" hidden="false" customHeight="true" outlineLevel="0" collapsed="false">
      <c r="A57" s="6" t="s">
        <v>70</v>
      </c>
      <c r="B57" s="10" t="n">
        <v>0.45</v>
      </c>
      <c r="C57" s="16" t="s">
        <v>71</v>
      </c>
    </row>
    <row r="58" customFormat="false" ht="15" hidden="false" customHeight="true" outlineLevel="0" collapsed="false">
      <c r="A58" s="6" t="s">
        <v>72</v>
      </c>
      <c r="B58" s="10" t="n">
        <v>0.15</v>
      </c>
      <c r="C58" s="16" t="s">
        <v>73</v>
      </c>
    </row>
    <row r="60" customFormat="false" ht="15" hidden="false" customHeight="true" outlineLevel="0" collapsed="false">
      <c r="A60" s="17" t="s">
        <v>74</v>
      </c>
      <c r="B60" s="17"/>
      <c r="C60" s="17"/>
    </row>
    <row r="62" customFormat="false" ht="15" hidden="false" customHeight="true" outlineLevel="0" collapsed="false">
      <c r="A62" s="14" t="s">
        <v>75</v>
      </c>
      <c r="B62" s="14"/>
      <c r="C62" s="14"/>
    </row>
    <row r="63" customFormat="false" ht="15" hidden="false" customHeight="true" outlineLevel="0" collapsed="false">
      <c r="A63" s="15" t="s">
        <v>3</v>
      </c>
      <c r="B63" s="15" t="s">
        <v>4</v>
      </c>
      <c r="C63" s="15" t="s">
        <v>5</v>
      </c>
    </row>
    <row r="64" customFormat="false" ht="15" hidden="false" customHeight="true" outlineLevel="0" collapsed="false">
      <c r="A64" s="6" t="s">
        <v>76</v>
      </c>
      <c r="B64" s="10" t="n">
        <v>0.045</v>
      </c>
      <c r="C64" s="16" t="s">
        <v>77</v>
      </c>
    </row>
    <row r="65" customFormat="false" ht="15" hidden="false" customHeight="true" outlineLevel="0" collapsed="false">
      <c r="A65" s="6" t="s">
        <v>78</v>
      </c>
      <c r="B65" s="12" t="n">
        <v>45000</v>
      </c>
      <c r="C65" s="16" t="s">
        <v>79</v>
      </c>
    </row>
    <row r="66" customFormat="false" ht="15" hidden="false" customHeight="true" outlineLevel="0" collapsed="false">
      <c r="A66" s="6" t="s">
        <v>80</v>
      </c>
      <c r="B66" s="10" t="n">
        <v>0.015</v>
      </c>
      <c r="C66" s="16" t="s">
        <v>81</v>
      </c>
    </row>
    <row r="67" customFormat="false" ht="15" hidden="false" customHeight="true" outlineLevel="0" collapsed="false">
      <c r="A67" s="6" t="s">
        <v>82</v>
      </c>
      <c r="B67" s="12" t="n">
        <v>1</v>
      </c>
      <c r="C67" s="16" t="s">
        <v>83</v>
      </c>
    </row>
    <row r="68" customFormat="false" ht="15" hidden="false" customHeight="true" outlineLevel="0" collapsed="false">
      <c r="A68" s="6" t="s">
        <v>46</v>
      </c>
      <c r="B68" s="10" t="n">
        <v>0.015</v>
      </c>
      <c r="C68" s="16" t="s">
        <v>42</v>
      </c>
    </row>
    <row r="69" customFormat="false" ht="15" hidden="false" customHeight="true" outlineLevel="0" collapsed="false">
      <c r="A69" s="6" t="s">
        <v>84</v>
      </c>
      <c r="B69" s="10" t="n">
        <v>0.4</v>
      </c>
      <c r="C69" s="16" t="s">
        <v>85</v>
      </c>
    </row>
    <row r="70" customFormat="false" ht="15" hidden="false" customHeight="true" outlineLevel="0" collapsed="false">
      <c r="A70" s="6" t="s">
        <v>86</v>
      </c>
      <c r="B70" s="10" t="n">
        <v>0.7</v>
      </c>
      <c r="C70" s="16" t="s">
        <v>87</v>
      </c>
    </row>
    <row r="71" customFormat="false" ht="15" hidden="false" customHeight="true" outlineLevel="0" collapsed="false">
      <c r="A71" s="6" t="s">
        <v>88</v>
      </c>
      <c r="B71" s="10" t="n">
        <v>-0.9</v>
      </c>
      <c r="C71" s="16" t="s">
        <v>89</v>
      </c>
    </row>
    <row r="72" customFormat="false" ht="15" hidden="false" customHeight="true" outlineLevel="0" collapsed="false">
      <c r="A72" s="6" t="s">
        <v>90</v>
      </c>
      <c r="B72" s="10" t="n">
        <v>0.85</v>
      </c>
      <c r="C72" s="16" t="s">
        <v>91</v>
      </c>
    </row>
    <row r="74" customFormat="false" ht="45" hidden="false" customHeight="true" outlineLevel="0" collapsed="false">
      <c r="A74" s="17" t="s">
        <v>92</v>
      </c>
      <c r="B74" s="17"/>
      <c r="C74" s="17"/>
    </row>
    <row r="76" customFormat="false" ht="15" hidden="false" customHeight="false" outlineLevel="0" collapsed="false">
      <c r="A76" s="18" t="s">
        <v>93</v>
      </c>
      <c r="B76" s="18"/>
      <c r="C76" s="18"/>
    </row>
    <row r="77" customFormat="false" ht="15" hidden="false" customHeight="false" outlineLevel="0" collapsed="false">
      <c r="A77" s="15" t="s">
        <v>3</v>
      </c>
      <c r="B77" s="15" t="s">
        <v>4</v>
      </c>
      <c r="C77" s="15" t="s">
        <v>5</v>
      </c>
    </row>
    <row r="78" customFormat="false" ht="15" hidden="false" customHeight="false" outlineLevel="0" collapsed="false">
      <c r="A78" s="19" t="s">
        <v>94</v>
      </c>
      <c r="B78" s="20" t="n">
        <v>0.28</v>
      </c>
      <c r="C78" s="21" t="s">
        <v>95</v>
      </c>
    </row>
    <row r="79" customFormat="false" ht="15" hidden="false" customHeight="false" outlineLevel="0" collapsed="false">
      <c r="A79" s="19" t="s">
        <v>96</v>
      </c>
      <c r="B79" s="22" t="n">
        <v>182000</v>
      </c>
      <c r="C79" s="21" t="s">
        <v>97</v>
      </c>
    </row>
    <row r="80" customFormat="false" ht="15" hidden="false" customHeight="false" outlineLevel="0" collapsed="false">
      <c r="A80" s="19" t="s">
        <v>98</v>
      </c>
      <c r="B80" s="20" t="n">
        <v>1.15</v>
      </c>
      <c r="C80" s="21" t="s">
        <v>99</v>
      </c>
    </row>
    <row r="81" customFormat="false" ht="15" hidden="false" customHeight="false" outlineLevel="0" collapsed="false">
      <c r="A81" s="19" t="s">
        <v>100</v>
      </c>
      <c r="B81" s="20" t="n">
        <v>-0.35</v>
      </c>
      <c r="C81" s="21" t="s">
        <v>101</v>
      </c>
    </row>
    <row r="82" customFormat="false" ht="15" hidden="false" customHeight="false" outlineLevel="0" collapsed="false">
      <c r="A82" s="19" t="s">
        <v>102</v>
      </c>
      <c r="B82" s="20" t="n">
        <v>-0.6</v>
      </c>
      <c r="C82" s="21" t="s">
        <v>103</v>
      </c>
    </row>
    <row r="83" customFormat="false" ht="15" hidden="false" customHeight="false" outlineLevel="0" collapsed="false">
      <c r="A83" s="19" t="s">
        <v>104</v>
      </c>
      <c r="B83" s="22" t="n">
        <v>2</v>
      </c>
      <c r="C83" s="21" t="s">
        <v>105</v>
      </c>
    </row>
    <row r="84" customFormat="false" ht="15" hidden="false" customHeight="false" outlineLevel="0" collapsed="false">
      <c r="A84" s="19" t="s">
        <v>106</v>
      </c>
      <c r="B84" s="20" t="n">
        <v>0.65</v>
      </c>
      <c r="C84" s="21" t="s">
        <v>107</v>
      </c>
    </row>
    <row r="85" customFormat="false" ht="15" hidden="false" customHeight="false" outlineLevel="0" collapsed="false">
      <c r="A85" s="19" t="s">
        <v>108</v>
      </c>
      <c r="B85" s="20" t="n">
        <v>0.32</v>
      </c>
      <c r="C85" s="21" t="s">
        <v>15</v>
      </c>
    </row>
    <row r="87" customFormat="false" ht="49.5" hidden="false" customHeight="true" outlineLevel="0" collapsed="false">
      <c r="A87" s="23" t="s">
        <v>109</v>
      </c>
      <c r="B87" s="23"/>
      <c r="C87" s="23"/>
    </row>
  </sheetData>
  <mergeCells count="11">
    <mergeCell ref="A1:G1"/>
    <mergeCell ref="A2:G2"/>
    <mergeCell ref="A4:C4"/>
    <mergeCell ref="A18:C18"/>
    <mergeCell ref="A31:C31"/>
    <mergeCell ref="A49:C49"/>
    <mergeCell ref="A60:C60"/>
    <mergeCell ref="A62:C62"/>
    <mergeCell ref="A74:C74"/>
    <mergeCell ref="A76:C76"/>
    <mergeCell ref="A87:C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1" min="2" style="1" width="12"/>
  </cols>
  <sheetData>
    <row r="1" customFormat="false" ht="19.5" hidden="false" customHeight="true" outlineLevel="0" collapsed="false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24" t="s">
        <v>111</v>
      </c>
    </row>
    <row r="4" customFormat="false" ht="15" hidden="false" customHeight="true" outlineLevel="0" collapsed="false">
      <c r="A4" s="5" t="s">
        <v>112</v>
      </c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</row>
    <row r="5" customFormat="false" ht="15" hidden="false" customHeight="true" outlineLevel="0" collapsed="false">
      <c r="A5" s="25" t="s">
        <v>16</v>
      </c>
      <c r="B5" s="26" t="n">
        <f aca="false">'Parámetros Sistema'!B13</f>
        <v>45</v>
      </c>
      <c r="C5" s="26" t="n">
        <f aca="false">B5*(1+'Parámetros Sistema'!B12)</f>
        <v>45.36</v>
      </c>
      <c r="D5" s="26" t="n">
        <f aca="false">C5*(1+'Parámetros Sistema'!B12)</f>
        <v>45.72288</v>
      </c>
      <c r="E5" s="26" t="n">
        <f aca="false">D5*(1+'Parámetros Sistema'!B12)</f>
        <v>46.08866304</v>
      </c>
      <c r="F5" s="26" t="n">
        <f aca="false">E5*(1+'Parámetros Sistema'!B12)</f>
        <v>46.45737234432</v>
      </c>
      <c r="G5" s="26" t="n">
        <f aca="false">F5*(1+'Parámetros Sistema'!B12)</f>
        <v>46.8290313230746</v>
      </c>
      <c r="H5" s="26" t="n">
        <f aca="false">G5*(1+'Parámetros Sistema'!B12)</f>
        <v>47.2036635736592</v>
      </c>
      <c r="I5" s="26" t="n">
        <f aca="false">H5*(1+'Parámetros Sistema'!B12)</f>
        <v>47.5812928822484</v>
      </c>
      <c r="J5" s="26" t="n">
        <f aca="false">I5*(1+'Parámetros Sistema'!B12)</f>
        <v>47.9619432253064</v>
      </c>
      <c r="K5" s="26" t="n">
        <f aca="false">J5*(1+'Parámetros Sistema'!B12)</f>
        <v>48.3456387711089</v>
      </c>
    </row>
    <row r="6" customFormat="false" ht="15" hidden="false" customHeight="true" outlineLevel="0" collapsed="false">
      <c r="A6" s="25" t="s">
        <v>113</v>
      </c>
      <c r="B6" s="26" t="n">
        <f aca="false">B5*'Parámetros Sistema'!B14</f>
        <v>29.25</v>
      </c>
      <c r="C6" s="26" t="n">
        <f aca="false">B6*(1+'Parámetros Sistema'!B12*0.85)</f>
        <v>29.4489</v>
      </c>
      <c r="D6" s="26" t="n">
        <f aca="false">C6*(1+'Parámetros Sistema'!B12*0.85)</f>
        <v>29.64915252</v>
      </c>
      <c r="E6" s="26" t="n">
        <f aca="false">D6*(1+'Parámetros Sistema'!B12*0.85)</f>
        <v>29.850766757136</v>
      </c>
      <c r="F6" s="26" t="n">
        <f aca="false">E6*(1+'Parámetros Sistema'!B12*0.85)</f>
        <v>30.0537519710845</v>
      </c>
      <c r="G6" s="26" t="n">
        <f aca="false">F6*(1+'Parámetros Sistema'!B12*0.85)</f>
        <v>30.2581174844879</v>
      </c>
      <c r="H6" s="26" t="n">
        <f aca="false">G6*(1+'Parámetros Sistema'!B12*0.85)</f>
        <v>30.4638726833824</v>
      </c>
      <c r="I6" s="26" t="n">
        <f aca="false">H6*(1+'Parámetros Sistema'!B12*0.85)</f>
        <v>30.6710270176294</v>
      </c>
      <c r="J6" s="26" t="n">
        <f aca="false">I6*(1+'Parámetros Sistema'!B12*0.85)</f>
        <v>30.8795900013493</v>
      </c>
      <c r="K6" s="26" t="n">
        <f aca="false">J6*(1+'Parámetros Sistema'!B12*0.85)</f>
        <v>31.0895712133584</v>
      </c>
    </row>
    <row r="7" customFormat="false" ht="15" hidden="false" customHeight="true" outlineLevel="0" collapsed="false">
      <c r="A7" s="25" t="s">
        <v>114</v>
      </c>
      <c r="B7" s="26" t="n">
        <f aca="false">B5*'Parámetros Sistema'!B15</f>
        <v>5.4</v>
      </c>
      <c r="C7" s="26" t="n">
        <f aca="false">B7*(1+'Parámetros Sistema'!B12*1.4)</f>
        <v>5.46048</v>
      </c>
      <c r="D7" s="26" t="n">
        <f aca="false">C7*(1+'Parámetros Sistema'!B12*1.4)</f>
        <v>5.521637376</v>
      </c>
      <c r="E7" s="26" t="n">
        <f aca="false">D7*(1+'Parámetros Sistema'!B12*1.4)</f>
        <v>5.5834797146112</v>
      </c>
      <c r="F7" s="26" t="n">
        <f aca="false">E7*(1+'Parámetros Sistema'!B12*1.4)</f>
        <v>5.64601468741485</v>
      </c>
      <c r="G7" s="26" t="n">
        <f aca="false">F7*(1+'Parámetros Sistema'!B12*1.4)</f>
        <v>5.70925005191389</v>
      </c>
      <c r="H7" s="26" t="n">
        <f aca="false">G7*(1+'Parámetros Sistema'!B12*1.4)</f>
        <v>5.77319365249533</v>
      </c>
      <c r="I7" s="26" t="n">
        <f aca="false">H7*(1+'Parámetros Sistema'!B12*1.4)</f>
        <v>5.83785342140328</v>
      </c>
      <c r="J7" s="26" t="n">
        <f aca="false">I7*(1+'Parámetros Sistema'!B12*1.4)</f>
        <v>5.903237379723</v>
      </c>
      <c r="K7" s="26" t="n">
        <f aca="false">J7*(1+'Parámetros Sistema'!B12*1.4)</f>
        <v>5.96935363837589</v>
      </c>
    </row>
    <row r="8" customFormat="false" ht="15" hidden="false" customHeight="true" outlineLevel="0" collapsed="false">
      <c r="A8" s="25" t="s">
        <v>115</v>
      </c>
      <c r="B8" s="27" t="n">
        <f aca="false">B7/B6</f>
        <v>0.184615384615385</v>
      </c>
      <c r="C8" s="27" t="n">
        <f aca="false">C7/C6</f>
        <v>0.185422205922802</v>
      </c>
      <c r="D8" s="27" t="n">
        <f aca="false">D7/D6</f>
        <v>0.186232553266922</v>
      </c>
      <c r="E8" s="27" t="n">
        <f aca="false">E7/E6</f>
        <v>0.187046442057521</v>
      </c>
      <c r="F8" s="27" t="n">
        <f aca="false">F7/F6</f>
        <v>0.187863887771717</v>
      </c>
      <c r="G8" s="27" t="n">
        <f aca="false">G7/G6</f>
        <v>0.188684905954271</v>
      </c>
      <c r="H8" s="27" t="n">
        <f aca="false">H7/H6</f>
        <v>0.189509512217878</v>
      </c>
      <c r="I8" s="27" t="n">
        <f aca="false">I7/I6</f>
        <v>0.190337722243463</v>
      </c>
      <c r="J8" s="27" t="n">
        <f aca="false">J7/J6</f>
        <v>0.191169551780482</v>
      </c>
      <c r="K8" s="27" t="n">
        <f aca="false">K7/K6</f>
        <v>0.192005016647222</v>
      </c>
    </row>
    <row r="9" customFormat="false" ht="15" hidden="false" customHeight="true" outlineLevel="0" collapsed="false">
      <c r="A9" s="25" t="s">
        <v>116</v>
      </c>
      <c r="B9" s="28" t="n">
        <f aca="false">B6*'Parámetros Sistema'!B36*'Parámetros Sistema'!B27</f>
        <v>389610</v>
      </c>
      <c r="C9" s="28" t="n">
        <f aca="false">B9*(1+'Parámetros Sistema'!B34+'Parámetros Sistema'!B35+'Parámetros Sistema'!B12*0.85)</f>
        <v>419532.048</v>
      </c>
      <c r="D9" s="28" t="n">
        <f aca="false">C9*(1+'Parámetros Sistema'!B34+'Parámetros Sistema'!B35+'Parámetros Sistema'!B12*0.85)</f>
        <v>451752.1092864</v>
      </c>
      <c r="E9" s="28" t="n">
        <f aca="false">D9*(1+'Parámetros Sistema'!B34+'Parámetros Sistema'!B35+'Parámetros Sistema'!B12*0.85)</f>
        <v>486446.671279595</v>
      </c>
      <c r="F9" s="28" t="n">
        <f aca="false">E9*(1+'Parámetros Sistema'!B34+'Parámetros Sistema'!B35+'Parámetros Sistema'!B12*0.85)</f>
        <v>523805.775633868</v>
      </c>
      <c r="G9" s="28" t="n">
        <f aca="false">F9*(1+'Parámetros Sistema'!B34+'Parámetros Sistema'!B35+'Parámetros Sistema'!B12*0.85)</f>
        <v>564034.059202549</v>
      </c>
      <c r="H9" s="28" t="n">
        <f aca="false">G9*(1+'Parámetros Sistema'!B34+'Parámetros Sistema'!B35+'Parámetros Sistema'!B12*0.85)</f>
        <v>607351.874949305</v>
      </c>
      <c r="I9" s="28" t="n">
        <f aca="false">H9*(1+'Parámetros Sistema'!B34+'Parámetros Sistema'!B35+'Parámetros Sistema'!B12*0.85)</f>
        <v>653996.498945411</v>
      </c>
      <c r="J9" s="28" t="n">
        <f aca="false">I9*(1+'Parámetros Sistema'!B34+'Parámetros Sistema'!B35+'Parámetros Sistema'!B12*0.85)</f>
        <v>704223.430064418</v>
      </c>
      <c r="K9" s="28" t="n">
        <f aca="false">J9*(1+'Parámetros Sistema'!B34+'Parámetros Sistema'!B35+'Parámetros Sistema'!B12*0.85)</f>
        <v>758307.789493366</v>
      </c>
    </row>
    <row r="10" customFormat="false" ht="15" hidden="false" customHeight="true" outlineLevel="0" collapsed="false">
      <c r="A10" s="25" t="s">
        <v>117</v>
      </c>
      <c r="B10" s="28" t="n">
        <f aca="false">B9*'Parámetros Sistema'!B22*(1-'Parámetros Sistema'!B28)</f>
        <v>86259.654</v>
      </c>
      <c r="C10" s="28" t="n">
        <f aca="false">C9*'Parámetros Sistema'!B22*(1-'Parámetros Sistema'!B28)</f>
        <v>92884.3954272</v>
      </c>
      <c r="D10" s="28" t="n">
        <f aca="false">D9*'Parámetros Sistema'!B22*(1-'Parámetros Sistema'!B28)</f>
        <v>100017.916996009</v>
      </c>
      <c r="E10" s="28" t="n">
        <f aca="false">E9*'Parámetros Sistema'!B22*(1-'Parámetros Sistema'!B28)</f>
        <v>107699.293021302</v>
      </c>
      <c r="F10" s="28" t="n">
        <f aca="false">F9*'Parámetros Sistema'!B22*(1-'Parámetros Sistema'!B28)</f>
        <v>115970.598725338</v>
      </c>
      <c r="G10" s="28" t="n">
        <f aca="false">G9*'Parámetros Sistema'!B22*(1-'Parámetros Sistema'!B28)</f>
        <v>124877.140707444</v>
      </c>
      <c r="H10" s="28" t="n">
        <f aca="false">H9*'Parámetros Sistema'!B22*(1-'Parámetros Sistema'!B28)</f>
        <v>134467.705113776</v>
      </c>
      <c r="I10" s="28" t="n">
        <f aca="false">I9*'Parámetros Sistema'!B22*(1-'Parámetros Sistema'!B28)</f>
        <v>144794.824866514</v>
      </c>
      <c r="J10" s="28" t="n">
        <f aca="false">J9*'Parámetros Sistema'!B22*(1-'Parámetros Sistema'!B28)</f>
        <v>155915.067416262</v>
      </c>
      <c r="K10" s="28" t="n">
        <f aca="false">K9*'Parámetros Sistema'!B22*(1-'Parámetros Sistema'!B28)</f>
        <v>167889.344593831</v>
      </c>
    </row>
    <row r="11" customFormat="false" ht="15" hidden="false" customHeight="true" outlineLevel="0" collapsed="false">
      <c r="A11" s="25" t="s">
        <v>118</v>
      </c>
      <c r="B11" s="28" t="n">
        <f aca="false">B7*'Parámetros Sistema'!B36*'Parámetros Sistema'!B23</f>
        <v>64935</v>
      </c>
      <c r="C11" s="28" t="n">
        <f aca="false">B11*(1+'Parámetros Sistema'!B34+'Parámetros Sistema'!B35)*(C7/B7)</f>
        <v>70258.63104</v>
      </c>
      <c r="D11" s="28" t="n">
        <f aca="false">C11*(1+'Parámetros Sistema'!B34+'Parámetros Sistema'!B35)*(D7/B7)</f>
        <v>76870.1242512318</v>
      </c>
      <c r="E11" s="28" t="n">
        <f aca="false">D11*(1+'Parámetros Sistema'!B34+'Parámetros Sistema'!B35)*(E7/B7)</f>
        <v>85045.7359213968</v>
      </c>
      <c r="F11" s="28" t="n">
        <f aca="false">E11*(1+'Parámetros Sistema'!B34+'Parámetros Sistema'!B35)*(F7/B7)</f>
        <v>95144.6920930011</v>
      </c>
      <c r="G11" s="28" t="n">
        <f aca="false">F11*(1+'Parámetros Sistema'!B34+'Parámetros Sistema'!B35)*(G7/B7)</f>
        <v>107635.032768572</v>
      </c>
      <c r="H11" s="28" t="n">
        <f aca="false">G11*(1+'Parámetros Sistema'!B34+'Parámetros Sistema'!B35)*(H7/B7)</f>
        <v>123128.840763563</v>
      </c>
      <c r="I11" s="28" t="n">
        <f aca="false">H11*(1+'Parámetros Sistema'!B34+'Parámetros Sistema'!B35)*(I7/B7)</f>
        <v>142430.49870884</v>
      </c>
      <c r="J11" s="28" t="n">
        <f aca="false">I11*(1+'Parámetros Sistema'!B34+'Parámetros Sistema'!B35)*(J7/B7)</f>
        <v>166603.169827769</v>
      </c>
      <c r="K11" s="28" t="n">
        <f aca="false">J11*(1+'Parámetros Sistema'!B34+'Parámetros Sistema'!B35)*(K7/B7)</f>
        <v>197060.956413833</v>
      </c>
    </row>
    <row r="12" customFormat="false" ht="15" hidden="false" customHeight="true" outlineLevel="0" collapsed="false">
      <c r="A12" s="25" t="s">
        <v>119</v>
      </c>
      <c r="B12" s="28" t="n">
        <f aca="false">B10-B11</f>
        <v>21324.654</v>
      </c>
      <c r="C12" s="28" t="n">
        <f aca="false">C10-C11</f>
        <v>22625.7643872</v>
      </c>
      <c r="D12" s="28" t="n">
        <f aca="false">D10-D11</f>
        <v>23147.7927447771</v>
      </c>
      <c r="E12" s="28" t="n">
        <f aca="false">E10-E11</f>
        <v>22653.5570999056</v>
      </c>
      <c r="F12" s="28" t="n">
        <f aca="false">F10-F11</f>
        <v>20825.9066323373</v>
      </c>
      <c r="G12" s="28" t="n">
        <f aca="false">G10-G11</f>
        <v>17242.1079388724</v>
      </c>
      <c r="H12" s="28" t="n">
        <f aca="false">H10-H11</f>
        <v>11338.8643502128</v>
      </c>
      <c r="I12" s="28" t="n">
        <f aca="false">I10-I11</f>
        <v>2364.32615767399</v>
      </c>
      <c r="J12" s="28" t="n">
        <f aca="false">J10-J11</f>
        <v>-10688.1024115072</v>
      </c>
      <c r="K12" s="28" t="n">
        <f aca="false">K10-K11</f>
        <v>-29171.6118200017</v>
      </c>
    </row>
    <row r="13" customFormat="false" ht="15" hidden="false" customHeight="true" outlineLevel="0" collapsed="false">
      <c r="A13" s="25" t="s">
        <v>120</v>
      </c>
      <c r="B13" s="29" t="n">
        <f aca="false">B12/'Parámetros Sistema'!B33</f>
        <v>0.03280716</v>
      </c>
      <c r="C13" s="29" t="n">
        <f aca="false">C12/('Parámetros Sistema'!B33*(1+'Parámetros Sistema'!B34)^1)</f>
        <v>0.0339598715004878</v>
      </c>
      <c r="D13" s="29" t="n">
        <f aca="false">D12/('Parámetros Sistema'!B33*(1+'Parámetros Sistema'!B34)^2)</f>
        <v>0.0338960036531766</v>
      </c>
      <c r="E13" s="29" t="n">
        <f aca="false">E12/('Parámetros Sistema'!B33*(1+'Parámetros Sistema'!B34)^3)</f>
        <v>0.0323631996587834</v>
      </c>
      <c r="F13" s="29" t="n">
        <f aca="false">F12/('Parámetros Sistema'!B33*(1+'Parámetros Sistema'!B34)^4)</f>
        <v>0.0290265285263162</v>
      </c>
      <c r="G13" s="29" t="n">
        <f aca="false">G12/('Parámetros Sistema'!B33*(1+'Parámetros Sistema'!B34)^5)</f>
        <v>0.0234454015833823</v>
      </c>
      <c r="H13" s="29" t="n">
        <f aca="false">H12/('Parámetros Sistema'!B33*(1+'Parámetros Sistema'!B34)^6)</f>
        <v>0.0150422572195997</v>
      </c>
      <c r="I13" s="29" t="n">
        <f aca="false">I12/('Parámetros Sistema'!B33*(1+'Parámetros Sistema'!B34)^7)</f>
        <v>0.00306003907822998</v>
      </c>
      <c r="J13" s="29" t="n">
        <f aca="false">J12/('Parámetros Sistema'!B33*(1+'Parámetros Sistema'!B34)^8)</f>
        <v>-0.0134957283119134</v>
      </c>
      <c r="K13" s="29" t="n">
        <f aca="false">K12/('Parámetros Sistema'!B33*(1+'Parámetros Sistema'!B34)^9)</f>
        <v>-0.0359362106812113</v>
      </c>
    </row>
    <row r="14" customFormat="false" ht="15" hidden="false" customHeight="true" outlineLevel="0" collapsed="false">
      <c r="A14" s="25" t="s">
        <v>121</v>
      </c>
      <c r="B14" s="29" t="n">
        <f aca="false">IF(B13&lt;0,-B13,0)</f>
        <v>0</v>
      </c>
      <c r="C14" s="29" t="n">
        <f aca="false">IF(C13&lt;0,-C13,0)</f>
        <v>0</v>
      </c>
      <c r="D14" s="29" t="n">
        <f aca="false">IF(D13&lt;0,-D13,0)</f>
        <v>0</v>
      </c>
      <c r="E14" s="29" t="n">
        <f aca="false">IF(E13&lt;0,-E13,0)</f>
        <v>0</v>
      </c>
      <c r="F14" s="29" t="n">
        <f aca="false">IF(F13&lt;0,-F13,0)</f>
        <v>0</v>
      </c>
      <c r="G14" s="29" t="n">
        <f aca="false">IF(G13&lt;0,-G13,0)</f>
        <v>0</v>
      </c>
      <c r="H14" s="29" t="n">
        <f aca="false">IF(H13&lt;0,-H13,0)</f>
        <v>0</v>
      </c>
      <c r="I14" s="29" t="n">
        <f aca="false">IF(I13&lt;0,-I13,0)</f>
        <v>0</v>
      </c>
      <c r="J14" s="29" t="n">
        <f aca="false">IF(J13&lt;0,-J13,0)</f>
        <v>0.0134957283119134</v>
      </c>
      <c r="K14" s="29" t="n">
        <f aca="false">IF(K13&lt;0,-K13,0)</f>
        <v>0.0359362106812113</v>
      </c>
    </row>
    <row r="15" customFormat="false" ht="15" hidden="false" customHeight="true" outlineLevel="0" collapsed="false">
      <c r="A15" s="25" t="s">
        <v>122</v>
      </c>
      <c r="B15" s="29" t="n">
        <f aca="false">B14+'Parámetros Sistema'!B29</f>
        <v>0.025</v>
      </c>
      <c r="C15" s="29" t="n">
        <f aca="false">C14+'Parámetros Sistema'!B29</f>
        <v>0.025</v>
      </c>
      <c r="D15" s="29" t="n">
        <f aca="false">D14+'Parámetros Sistema'!B29</f>
        <v>0.025</v>
      </c>
      <c r="E15" s="29" t="n">
        <f aca="false">E14+'Parámetros Sistema'!B29</f>
        <v>0.025</v>
      </c>
      <c r="F15" s="29" t="n">
        <f aca="false">F14+'Parámetros Sistema'!B29</f>
        <v>0.025</v>
      </c>
      <c r="G15" s="29" t="n">
        <f aca="false">G14+'Parámetros Sistema'!B29</f>
        <v>0.025</v>
      </c>
      <c r="H15" s="29" t="n">
        <f aca="false">H14+'Parámetros Sistema'!B29</f>
        <v>0.025</v>
      </c>
      <c r="I15" s="29" t="n">
        <f aca="false">I14+'Parámetros Sistema'!B29</f>
        <v>0.025</v>
      </c>
      <c r="J15" s="29" t="n">
        <f aca="false">J14+'Parámetros Sistema'!B29</f>
        <v>0.0384957283119134</v>
      </c>
      <c r="K15" s="29" t="n">
        <f aca="false">K14+'Parámetros Sistema'!B29</f>
        <v>0.0609362106812113</v>
      </c>
    </row>
    <row r="17" customFormat="false" ht="15" hidden="false" customHeight="true" outlineLevel="0" collapsed="false">
      <c r="A17" s="13" t="s">
        <v>123</v>
      </c>
    </row>
    <row r="18" customFormat="false" ht="15" hidden="false" customHeight="true" outlineLevel="0" collapsed="false">
      <c r="A18" s="1" t="s">
        <v>124</v>
      </c>
    </row>
    <row r="19" customFormat="false" ht="15" hidden="false" customHeight="true" outlineLevel="0" collapsed="false">
      <c r="A19" s="1" t="s">
        <v>125</v>
      </c>
    </row>
    <row r="20" customFormat="false" ht="15" hidden="false" customHeight="true" outlineLevel="0" collapsed="false">
      <c r="A20" s="1" t="s">
        <v>126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0"/>
  </cols>
  <sheetData>
    <row r="1" customFormat="false" ht="19.5" hidden="false" customHeight="true" outlineLevel="0" collapsed="false">
      <c r="A1" s="2" t="s">
        <v>127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128</v>
      </c>
    </row>
    <row r="5" customFormat="false" ht="15" hidden="false" customHeight="true" outlineLevel="0" collapsed="false">
      <c r="A5" s="30" t="s">
        <v>129</v>
      </c>
      <c r="B5" s="30"/>
      <c r="C5" s="30"/>
      <c r="D5" s="30"/>
      <c r="E5" s="30"/>
      <c r="F5" s="30"/>
    </row>
    <row r="7" customFormat="false" ht="15" hidden="false" customHeight="true" outlineLevel="0" collapsed="false">
      <c r="A7" s="31" t="s">
        <v>130</v>
      </c>
    </row>
    <row r="8" customFormat="false" ht="15" hidden="false" customHeight="true" outlineLevel="0" collapsed="false">
      <c r="A8" s="31" t="s">
        <v>131</v>
      </c>
      <c r="B8" s="32" t="s">
        <v>132</v>
      </c>
      <c r="C8" s="32"/>
      <c r="D8" s="32"/>
      <c r="E8" s="32"/>
    </row>
    <row r="9" customFormat="false" ht="15" hidden="false" customHeight="true" outlineLevel="0" collapsed="false">
      <c r="A9" s="31" t="s">
        <v>133</v>
      </c>
      <c r="B9" s="32" t="s">
        <v>134</v>
      </c>
      <c r="C9" s="32"/>
      <c r="D9" s="32"/>
      <c r="E9" s="32"/>
    </row>
    <row r="10" customFormat="false" ht="15" hidden="false" customHeight="true" outlineLevel="0" collapsed="false">
      <c r="A10" s="31" t="s">
        <v>135</v>
      </c>
      <c r="B10" s="32" t="s">
        <v>136</v>
      </c>
      <c r="C10" s="32"/>
      <c r="D10" s="32"/>
      <c r="E10" s="32"/>
    </row>
    <row r="11" customFormat="false" ht="15" hidden="false" customHeight="true" outlineLevel="0" collapsed="false">
      <c r="A11" s="31" t="s">
        <v>137</v>
      </c>
      <c r="B11" s="32" t="s">
        <v>138</v>
      </c>
      <c r="C11" s="32"/>
      <c r="D11" s="32"/>
      <c r="E11" s="32"/>
    </row>
    <row r="12" customFormat="false" ht="15" hidden="false" customHeight="true" outlineLevel="0" collapsed="false">
      <c r="A12" s="31" t="s">
        <v>139</v>
      </c>
      <c r="B12" s="32" t="s">
        <v>140</v>
      </c>
      <c r="C12" s="32"/>
      <c r="D12" s="32"/>
      <c r="E12" s="32"/>
    </row>
    <row r="13" customFormat="false" ht="15" hidden="false" customHeight="true" outlineLevel="0" collapsed="false">
      <c r="A13" s="31" t="s">
        <v>141</v>
      </c>
      <c r="B13" s="32" t="s">
        <v>142</v>
      </c>
      <c r="C13" s="32"/>
      <c r="D13" s="32"/>
      <c r="E13" s="32"/>
    </row>
    <row r="14" customFormat="false" ht="15" hidden="false" customHeight="true" outlineLevel="0" collapsed="false">
      <c r="A14" s="31" t="s">
        <v>143</v>
      </c>
      <c r="B14" s="32" t="s">
        <v>144</v>
      </c>
      <c r="C14" s="32"/>
      <c r="D14" s="32"/>
      <c r="E14" s="32"/>
    </row>
    <row r="15" customFormat="false" ht="15" hidden="false" customHeight="true" outlineLevel="0" collapsed="false">
      <c r="A15" s="31" t="s">
        <v>145</v>
      </c>
      <c r="B15" s="32" t="s">
        <v>146</v>
      </c>
      <c r="C15" s="32"/>
      <c r="D15" s="32"/>
      <c r="E15" s="32"/>
    </row>
    <row r="16" customFormat="false" ht="15" hidden="false" customHeight="true" outlineLevel="0" collapsed="false">
      <c r="A16" s="31" t="s">
        <v>147</v>
      </c>
      <c r="B16" s="32" t="s">
        <v>148</v>
      </c>
      <c r="C16" s="32"/>
      <c r="D16" s="32"/>
      <c r="E16" s="32"/>
    </row>
    <row r="17" customFormat="false" ht="15" hidden="false" customHeight="true" outlineLevel="0" collapsed="false">
      <c r="A17" s="31" t="s">
        <v>149</v>
      </c>
      <c r="B17" s="32" t="s">
        <v>150</v>
      </c>
      <c r="C17" s="32"/>
      <c r="D17" s="32"/>
      <c r="E17" s="32"/>
    </row>
    <row r="19" customFormat="false" ht="15" hidden="false" customHeight="true" outlineLevel="0" collapsed="false">
      <c r="A19" s="33" t="s">
        <v>151</v>
      </c>
    </row>
    <row r="20" customFormat="false" ht="15" hidden="false" customHeight="true" outlineLevel="0" collapsed="false">
      <c r="A20" s="1" t="s">
        <v>152</v>
      </c>
    </row>
    <row r="21" customFormat="false" ht="15" hidden="false" customHeight="true" outlineLevel="0" collapsed="false">
      <c r="A21" s="1" t="s">
        <v>153</v>
      </c>
    </row>
    <row r="23" customFormat="false" ht="15" hidden="false" customHeight="true" outlineLevel="0" collapsed="false">
      <c r="A23" s="13" t="s">
        <v>154</v>
      </c>
    </row>
    <row r="25" customFormat="false" ht="15" hidden="false" customHeight="true" outlineLevel="0" collapsed="false">
      <c r="A25" s="30" t="s">
        <v>155</v>
      </c>
      <c r="B25" s="30"/>
      <c r="C25" s="30"/>
      <c r="D25" s="30"/>
      <c r="E25" s="30"/>
      <c r="F25" s="30"/>
    </row>
    <row r="27" customFormat="false" ht="15" hidden="false" customHeight="true" outlineLevel="0" collapsed="false">
      <c r="A27" s="31" t="s">
        <v>130</v>
      </c>
    </row>
    <row r="28" customFormat="false" ht="15" hidden="false" customHeight="true" outlineLevel="0" collapsed="false">
      <c r="A28" s="31" t="s">
        <v>156</v>
      </c>
      <c r="B28" s="32" t="s">
        <v>157</v>
      </c>
      <c r="C28" s="32"/>
      <c r="D28" s="32"/>
      <c r="E28" s="32"/>
    </row>
    <row r="29" customFormat="false" ht="15" hidden="false" customHeight="true" outlineLevel="0" collapsed="false">
      <c r="A29" s="31" t="s">
        <v>158</v>
      </c>
      <c r="B29" s="32" t="s">
        <v>159</v>
      </c>
      <c r="C29" s="32"/>
      <c r="D29" s="32"/>
      <c r="E29" s="32"/>
    </row>
    <row r="30" customFormat="false" ht="15" hidden="false" customHeight="true" outlineLevel="0" collapsed="false">
      <c r="A30" s="31" t="s">
        <v>160</v>
      </c>
      <c r="B30" s="32" t="s">
        <v>161</v>
      </c>
      <c r="C30" s="32"/>
      <c r="D30" s="32"/>
      <c r="E30" s="32"/>
    </row>
    <row r="31" customFormat="false" ht="15" hidden="false" customHeight="true" outlineLevel="0" collapsed="false">
      <c r="A31" s="31" t="s">
        <v>162</v>
      </c>
      <c r="B31" s="32" t="s">
        <v>163</v>
      </c>
      <c r="C31" s="32"/>
      <c r="D31" s="32"/>
      <c r="E31" s="32"/>
    </row>
    <row r="32" customFormat="false" ht="15" hidden="false" customHeight="true" outlineLevel="0" collapsed="false">
      <c r="A32" s="31" t="s">
        <v>164</v>
      </c>
      <c r="B32" s="32" t="s">
        <v>165</v>
      </c>
      <c r="C32" s="32"/>
      <c r="D32" s="32"/>
      <c r="E32" s="32"/>
    </row>
    <row r="33" customFormat="false" ht="15" hidden="false" customHeight="true" outlineLevel="0" collapsed="false">
      <c r="A33" s="31" t="s">
        <v>166</v>
      </c>
      <c r="B33" s="32" t="s">
        <v>167</v>
      </c>
      <c r="C33" s="32"/>
      <c r="D33" s="32"/>
      <c r="E33" s="32"/>
    </row>
    <row r="35" customFormat="false" ht="15" hidden="false" customHeight="true" outlineLevel="0" collapsed="false">
      <c r="A35" s="33" t="s">
        <v>168</v>
      </c>
    </row>
    <row r="36" customFormat="false" ht="15" hidden="false" customHeight="true" outlineLevel="0" collapsed="false">
      <c r="A36" s="1" t="s">
        <v>169</v>
      </c>
    </row>
    <row r="37" customFormat="false" ht="15" hidden="false" customHeight="true" outlineLevel="0" collapsed="false">
      <c r="A37" s="1" t="s">
        <v>170</v>
      </c>
    </row>
    <row r="39" customFormat="false" ht="15" hidden="false" customHeight="true" outlineLevel="0" collapsed="false">
      <c r="A39" s="13" t="s">
        <v>171</v>
      </c>
    </row>
    <row r="40" customFormat="false" ht="15" hidden="false" customHeight="true" outlineLevel="0" collapsed="false">
      <c r="A40" s="1" t="s">
        <v>172</v>
      </c>
    </row>
    <row r="41" customFormat="false" ht="15" hidden="false" customHeight="true" outlineLevel="0" collapsed="false">
      <c r="A41" s="1" t="s">
        <v>173</v>
      </c>
    </row>
    <row r="43" customFormat="false" ht="15" hidden="false" customHeight="false" outlineLevel="0" collapsed="false">
      <c r="A43" s="18" t="s">
        <v>174</v>
      </c>
      <c r="B43" s="18"/>
      <c r="C43" s="18"/>
      <c r="D43" s="18"/>
      <c r="E43" s="18"/>
      <c r="F43" s="18"/>
    </row>
    <row r="45" customFormat="false" ht="15" hidden="false" customHeight="false" outlineLevel="0" collapsed="false">
      <c r="A45" s="34" t="s">
        <v>175</v>
      </c>
    </row>
    <row r="46" customFormat="false" ht="15" hidden="false" customHeight="false" outlineLevel="0" collapsed="false">
      <c r="A46" s="35" t="s">
        <v>176</v>
      </c>
      <c r="B46" s="35"/>
      <c r="C46" s="35"/>
      <c r="D46" s="35"/>
      <c r="E46" s="35"/>
      <c r="F46" s="35"/>
    </row>
    <row r="48" customFormat="false" ht="15" hidden="false" customHeight="false" outlineLevel="0" collapsed="false">
      <c r="A48" s="34" t="s">
        <v>177</v>
      </c>
    </row>
    <row r="49" customFormat="false" ht="15" hidden="false" customHeight="false" outlineLevel="0" collapsed="false">
      <c r="A49" s="35" t="s">
        <v>178</v>
      </c>
      <c r="B49" s="35"/>
      <c r="C49" s="35"/>
      <c r="D49" s="35"/>
      <c r="E49" s="35"/>
      <c r="F49" s="35"/>
    </row>
    <row r="50" customFormat="false" ht="15" hidden="false" customHeight="false" outlineLevel="0" collapsed="false">
      <c r="A50" s="23" t="s">
        <v>179</v>
      </c>
      <c r="B50" s="23"/>
      <c r="C50" s="23"/>
      <c r="D50" s="23"/>
      <c r="E50" s="23"/>
      <c r="F50" s="23"/>
    </row>
    <row r="52" customFormat="false" ht="15" hidden="false" customHeight="false" outlineLevel="0" collapsed="false">
      <c r="A52" s="34" t="s">
        <v>180</v>
      </c>
    </row>
    <row r="53" customFormat="false" ht="15" hidden="false" customHeight="false" outlineLevel="0" collapsed="false">
      <c r="A53" s="36" t="s">
        <v>181</v>
      </c>
      <c r="B53" s="36"/>
      <c r="C53" s="36"/>
      <c r="D53" s="36"/>
      <c r="E53" s="36"/>
      <c r="F53" s="36"/>
    </row>
    <row r="54" customFormat="false" ht="15" hidden="false" customHeight="false" outlineLevel="0" collapsed="false">
      <c r="A54" s="36" t="s">
        <v>182</v>
      </c>
      <c r="B54" s="36"/>
      <c r="C54" s="36"/>
      <c r="D54" s="36"/>
      <c r="E54" s="36"/>
      <c r="F54" s="36"/>
    </row>
    <row r="55" customFormat="false" ht="15" hidden="false" customHeight="false" outlineLevel="0" collapsed="false">
      <c r="A55" s="36" t="s">
        <v>183</v>
      </c>
      <c r="B55" s="36"/>
      <c r="C55" s="36"/>
      <c r="D55" s="36"/>
      <c r="E55" s="36"/>
      <c r="F55" s="36"/>
    </row>
    <row r="56" customFormat="false" ht="15" hidden="false" customHeight="false" outlineLevel="0" collapsed="false">
      <c r="A56" s="36" t="s">
        <v>184</v>
      </c>
      <c r="B56" s="36"/>
      <c r="C56" s="36"/>
      <c r="D56" s="36"/>
      <c r="E56" s="36"/>
      <c r="F56" s="36"/>
    </row>
    <row r="57" customFormat="false" ht="15" hidden="false" customHeight="false" outlineLevel="0" collapsed="false">
      <c r="A57" s="35" t="s">
        <v>185</v>
      </c>
      <c r="B57" s="35"/>
      <c r="C57" s="35"/>
      <c r="D57" s="35"/>
      <c r="E57" s="35"/>
      <c r="F57" s="35"/>
    </row>
    <row r="59" customFormat="false" ht="15" hidden="false" customHeight="false" outlineLevel="0" collapsed="false">
      <c r="A59" s="34" t="s">
        <v>186</v>
      </c>
    </row>
    <row r="60" customFormat="false" ht="15" hidden="false" customHeight="false" outlineLevel="0" collapsed="false">
      <c r="A60" s="36" t="s">
        <v>187</v>
      </c>
      <c r="B60" s="36"/>
      <c r="C60" s="36"/>
      <c r="D60" s="36"/>
      <c r="E60" s="36"/>
      <c r="F60" s="36"/>
    </row>
    <row r="61" customFormat="false" ht="15" hidden="false" customHeight="false" outlineLevel="0" collapsed="false">
      <c r="A61" s="36" t="s">
        <v>188</v>
      </c>
      <c r="B61" s="36"/>
      <c r="C61" s="36"/>
      <c r="D61" s="36"/>
      <c r="E61" s="36"/>
      <c r="F61" s="36"/>
    </row>
    <row r="62" customFormat="false" ht="15" hidden="false" customHeight="false" outlineLevel="0" collapsed="false">
      <c r="A62" s="36" t="s">
        <v>189</v>
      </c>
      <c r="B62" s="36"/>
      <c r="C62" s="36"/>
      <c r="D62" s="36"/>
      <c r="E62" s="36"/>
      <c r="F62" s="36"/>
    </row>
    <row r="63" customFormat="false" ht="15" hidden="false" customHeight="false" outlineLevel="0" collapsed="false">
      <c r="A63" s="36" t="s">
        <v>190</v>
      </c>
      <c r="B63" s="36"/>
      <c r="C63" s="36"/>
      <c r="D63" s="36"/>
      <c r="E63" s="36"/>
      <c r="F63" s="36"/>
    </row>
    <row r="65" customFormat="false" ht="15" hidden="false" customHeight="false" outlineLevel="0" collapsed="false">
      <c r="A65" s="34" t="s">
        <v>191</v>
      </c>
    </row>
    <row r="66" customFormat="false" ht="15" hidden="false" customHeight="false" outlineLevel="0" collapsed="false">
      <c r="A66" s="36" t="s">
        <v>192</v>
      </c>
      <c r="B66" s="36"/>
      <c r="C66" s="36"/>
      <c r="D66" s="36"/>
      <c r="E66" s="36"/>
      <c r="F66" s="36"/>
    </row>
  </sheetData>
  <mergeCells count="33">
    <mergeCell ref="A1:F1"/>
    <mergeCell ref="A5:F5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A25:F25"/>
    <mergeCell ref="B28:E28"/>
    <mergeCell ref="B29:E29"/>
    <mergeCell ref="B30:E30"/>
    <mergeCell ref="B31:E31"/>
    <mergeCell ref="B32:E32"/>
    <mergeCell ref="B33:E33"/>
    <mergeCell ref="A43:F43"/>
    <mergeCell ref="A46:F46"/>
    <mergeCell ref="A49:F49"/>
    <mergeCell ref="A50:F50"/>
    <mergeCell ref="A53:F53"/>
    <mergeCell ref="A54:F54"/>
    <mergeCell ref="A55:F55"/>
    <mergeCell ref="A56:F56"/>
    <mergeCell ref="A57:F57"/>
    <mergeCell ref="A60:F60"/>
    <mergeCell ref="A61:F61"/>
    <mergeCell ref="A62:F62"/>
    <mergeCell ref="A63:F63"/>
    <mergeCell ref="A66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45"/>
    <col collapsed="false" customWidth="true" hidden="false" outlineLevel="0" max="4" min="4" style="1" width="55"/>
  </cols>
  <sheetData>
    <row r="1" customFormat="false" ht="19.5" hidden="false" customHeight="true" outlineLevel="0" collapsed="false">
      <c r="A1" s="2" t="s">
        <v>193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194</v>
      </c>
    </row>
    <row r="4" customFormat="false" ht="15" hidden="false" customHeight="true" outlineLevel="0" collapsed="false">
      <c r="A4" s="5" t="s">
        <v>195</v>
      </c>
      <c r="B4" s="5" t="s">
        <v>196</v>
      </c>
      <c r="C4" s="5" t="s">
        <v>197</v>
      </c>
      <c r="D4" s="5" t="s">
        <v>198</v>
      </c>
    </row>
    <row r="5" customFormat="false" ht="34.5" hidden="false" customHeight="true" outlineLevel="0" collapsed="false">
      <c r="A5" s="37" t="s">
        <v>199</v>
      </c>
      <c r="B5" s="37" t="s">
        <v>200</v>
      </c>
      <c r="C5" s="37" t="s">
        <v>201</v>
      </c>
      <c r="D5" s="37" t="s">
        <v>202</v>
      </c>
    </row>
    <row r="6" customFormat="false" ht="34.5" hidden="false" customHeight="true" outlineLevel="0" collapsed="false">
      <c r="A6" s="37" t="s">
        <v>203</v>
      </c>
      <c r="B6" s="37" t="s">
        <v>204</v>
      </c>
      <c r="C6" s="37" t="s">
        <v>205</v>
      </c>
      <c r="D6" s="37" t="s">
        <v>206</v>
      </c>
    </row>
    <row r="7" customFormat="false" ht="34.5" hidden="false" customHeight="true" outlineLevel="0" collapsed="false">
      <c r="A7" s="37" t="s">
        <v>207</v>
      </c>
      <c r="B7" s="37" t="s">
        <v>208</v>
      </c>
      <c r="C7" s="37" t="s">
        <v>209</v>
      </c>
      <c r="D7" s="37" t="s">
        <v>210</v>
      </c>
    </row>
    <row r="8" customFormat="false" ht="34.5" hidden="false" customHeight="true" outlineLevel="0" collapsed="false">
      <c r="A8" s="37" t="s">
        <v>211</v>
      </c>
      <c r="B8" s="37" t="s">
        <v>212</v>
      </c>
      <c r="C8" s="37" t="s">
        <v>213</v>
      </c>
      <c r="D8" s="37" t="s">
        <v>214</v>
      </c>
    </row>
    <row r="9" customFormat="false" ht="34.5" hidden="false" customHeight="true" outlineLevel="0" collapsed="false">
      <c r="A9" s="37" t="s">
        <v>215</v>
      </c>
      <c r="B9" s="37" t="s">
        <v>216</v>
      </c>
      <c r="C9" s="37" t="s">
        <v>217</v>
      </c>
      <c r="D9" s="37" t="s">
        <v>218</v>
      </c>
    </row>
    <row r="11" customFormat="false" ht="15" hidden="false" customHeight="true" outlineLevel="0" collapsed="false">
      <c r="A11" s="13" t="s">
        <v>219</v>
      </c>
    </row>
    <row r="13" customFormat="false" ht="15" hidden="false" customHeight="true" outlineLevel="0" collapsed="false">
      <c r="A13" s="1" t="s">
        <v>220</v>
      </c>
    </row>
    <row r="14" customFormat="false" ht="15" hidden="false" customHeight="true" outlineLevel="0" collapsed="false">
      <c r="A14" s="1" t="s">
        <v>221</v>
      </c>
    </row>
    <row r="15" customFormat="false" ht="15" hidden="false" customHeight="true" outlineLevel="0" collapsed="false">
      <c r="A15" s="1" t="s">
        <v>222</v>
      </c>
    </row>
    <row r="16" customFormat="false" ht="15" hidden="false" customHeight="true" outlineLevel="0" collapsed="false">
      <c r="A16" s="1" t="s">
        <v>223</v>
      </c>
    </row>
    <row r="18" customFormat="false" ht="15" hidden="false" customHeight="true" outlineLevel="0" collapsed="false">
      <c r="A18" s="13" t="s">
        <v>224</v>
      </c>
    </row>
    <row r="19" customFormat="false" ht="15" hidden="false" customHeight="true" outlineLevel="0" collapsed="false">
      <c r="A19" s="1" t="s">
        <v>225</v>
      </c>
    </row>
    <row r="20" customFormat="false" ht="15" hidden="false" customHeight="true" outlineLevel="0" collapsed="false">
      <c r="A20" s="1" t="s">
        <v>226</v>
      </c>
    </row>
    <row r="21" customFormat="false" ht="15" hidden="false" customHeight="true" outlineLevel="0" collapsed="false">
      <c r="A21" s="1" t="s">
        <v>227</v>
      </c>
    </row>
    <row r="22" customFormat="false" ht="15" hidden="false" customHeight="true" outlineLevel="0" collapsed="false">
      <c r="A22" s="1" t="s">
        <v>228</v>
      </c>
    </row>
    <row r="23" customFormat="false" ht="15" hidden="false" customHeight="true" outlineLevel="0" collapsed="false">
      <c r="A23" s="1" t="s">
        <v>229</v>
      </c>
    </row>
    <row r="25" customFormat="false" ht="15" hidden="false" customHeight="true" outlineLevel="0" collapsed="false">
      <c r="A25" s="13" t="s">
        <v>230</v>
      </c>
    </row>
    <row r="26" customFormat="false" ht="15" hidden="false" customHeight="true" outlineLevel="0" collapsed="false">
      <c r="A26" s="1" t="s">
        <v>231</v>
      </c>
    </row>
    <row r="27" customFormat="false" ht="15" hidden="false" customHeight="true" outlineLevel="0" collapsed="false">
      <c r="A27" s="1" t="s">
        <v>232</v>
      </c>
    </row>
    <row r="28" customFormat="false" ht="15" hidden="false" customHeight="true" outlineLevel="0" collapsed="false">
      <c r="A28" s="1" t="s">
        <v>233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52"/>
    <col collapsed="false" customWidth="true" hidden="false" outlineLevel="0" max="7" min="7" style="1" width="12"/>
    <col collapsed="false" customWidth="true" hidden="false" outlineLevel="0" max="8" min="8" style="1" width="38"/>
  </cols>
  <sheetData>
    <row r="1" customFormat="false" ht="19.5" hidden="false" customHeight="true" outlineLevel="0" collapsed="false">
      <c r="A1" s="2" t="s">
        <v>234</v>
      </c>
      <c r="B1" s="2"/>
      <c r="C1" s="2"/>
      <c r="D1" s="2"/>
      <c r="E1" s="2"/>
      <c r="F1" s="2"/>
      <c r="G1" s="2"/>
      <c r="H1" s="2"/>
      <c r="I1" s="6"/>
      <c r="J1" s="6"/>
      <c r="K1" s="6"/>
      <c r="L1" s="6"/>
    </row>
    <row r="2" customFormat="false" ht="15" hidden="false" customHeight="true" outlineLevel="0" collapsed="false">
      <c r="A2" s="3" t="s">
        <v>235</v>
      </c>
      <c r="B2" s="3"/>
      <c r="C2" s="3"/>
      <c r="D2" s="3"/>
      <c r="E2" s="3"/>
      <c r="F2" s="3"/>
      <c r="G2" s="3"/>
      <c r="H2" s="3"/>
      <c r="I2" s="6"/>
      <c r="J2" s="6"/>
      <c r="K2" s="6"/>
      <c r="L2" s="6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5" hidden="false" customHeight="true" outlineLevel="0" collapsed="false">
      <c r="A4" s="14" t="s">
        <v>236</v>
      </c>
      <c r="B4" s="14"/>
      <c r="C4" s="14"/>
      <c r="D4" s="14"/>
      <c r="E4" s="14"/>
      <c r="F4" s="14"/>
      <c r="G4" s="6"/>
      <c r="H4" s="6"/>
      <c r="I4" s="6"/>
      <c r="J4" s="6"/>
      <c r="K4" s="6"/>
      <c r="L4" s="6"/>
    </row>
    <row r="5" customFormat="false" ht="26.25" hidden="false" customHeight="true" outlineLevel="0" collapsed="false">
      <c r="A5" s="15" t="s">
        <v>237</v>
      </c>
      <c r="B5" s="15" t="s">
        <v>238</v>
      </c>
      <c r="C5" s="15" t="s">
        <v>239</v>
      </c>
      <c r="D5" s="15" t="s">
        <v>240</v>
      </c>
      <c r="E5" s="15" t="s">
        <v>241</v>
      </c>
      <c r="F5" s="15" t="s">
        <v>242</v>
      </c>
      <c r="G5" s="6"/>
      <c r="H5" s="6"/>
      <c r="I5" s="6"/>
      <c r="J5" s="6"/>
      <c r="K5" s="6"/>
      <c r="L5" s="6"/>
    </row>
    <row r="6" customFormat="false" ht="27.75" hidden="false" customHeight="true" outlineLevel="0" collapsed="false">
      <c r="A6" s="38" t="s">
        <v>243</v>
      </c>
      <c r="B6" s="39" t="n">
        <f aca="false">'Parámetros Sistema'!B6</f>
        <v>65</v>
      </c>
      <c r="C6" s="40" t="n">
        <v>67</v>
      </c>
      <c r="D6" s="41" t="n">
        <f aca="false">C6-B6</f>
        <v>2</v>
      </c>
      <c r="E6" s="42" t="s">
        <v>7</v>
      </c>
      <c r="F6" s="43" t="s">
        <v>244</v>
      </c>
      <c r="G6" s="6"/>
      <c r="H6" s="6"/>
      <c r="I6" s="6"/>
      <c r="J6" s="6"/>
      <c r="K6" s="6"/>
      <c r="L6" s="6"/>
    </row>
    <row r="7" customFormat="false" ht="27.75" hidden="false" customHeight="true" outlineLevel="0" collapsed="false">
      <c r="A7" s="38" t="s">
        <v>245</v>
      </c>
      <c r="B7" s="39" t="n">
        <f aca="false">'Parámetros Sistema'!B7</f>
        <v>60</v>
      </c>
      <c r="C7" s="40" t="n">
        <v>65</v>
      </c>
      <c r="D7" s="41" t="n">
        <f aca="false">C7-B7</f>
        <v>5</v>
      </c>
      <c r="E7" s="42" t="s">
        <v>7</v>
      </c>
      <c r="F7" s="43" t="s">
        <v>246</v>
      </c>
      <c r="G7" s="6"/>
      <c r="H7" s="6"/>
      <c r="I7" s="6"/>
      <c r="J7" s="6"/>
      <c r="K7" s="6"/>
      <c r="L7" s="6"/>
    </row>
    <row r="8" customFormat="false" ht="27.75" hidden="false" customHeight="true" outlineLevel="0" collapsed="false">
      <c r="A8" s="38" t="s">
        <v>247</v>
      </c>
      <c r="B8" s="39" t="n">
        <f aca="false">'Parámetros Sistema'!B8</f>
        <v>63</v>
      </c>
      <c r="C8" s="40" t="n">
        <v>65</v>
      </c>
      <c r="D8" s="41" t="n">
        <f aca="false">C8-B8</f>
        <v>2</v>
      </c>
      <c r="E8" s="42" t="s">
        <v>7</v>
      </c>
      <c r="F8" s="43" t="s">
        <v>248</v>
      </c>
      <c r="G8" s="6"/>
      <c r="H8" s="6"/>
      <c r="I8" s="6"/>
      <c r="J8" s="6"/>
      <c r="K8" s="6"/>
      <c r="L8" s="6"/>
    </row>
    <row r="9" customFormat="false" ht="27.75" hidden="false" customHeight="true" outlineLevel="0" collapsed="false">
      <c r="A9" s="38" t="s">
        <v>249</v>
      </c>
      <c r="B9" s="44" t="n">
        <v>30</v>
      </c>
      <c r="C9" s="40" t="n">
        <v>35</v>
      </c>
      <c r="D9" s="41" t="n">
        <f aca="false">C9-B9</f>
        <v>5</v>
      </c>
      <c r="E9" s="42" t="s">
        <v>7</v>
      </c>
      <c r="F9" s="43" t="s">
        <v>250</v>
      </c>
      <c r="G9" s="6"/>
      <c r="H9" s="6"/>
      <c r="I9" s="6"/>
      <c r="J9" s="6"/>
      <c r="K9" s="6"/>
      <c r="L9" s="6"/>
    </row>
    <row r="10" customFormat="false" ht="27.75" hidden="false" customHeight="true" outlineLevel="0" collapsed="false">
      <c r="A10" s="38" t="s">
        <v>251</v>
      </c>
      <c r="B10" s="45" t="n">
        <f aca="false">'Parámetros Sistema'!B20</f>
        <v>0.11</v>
      </c>
      <c r="C10" s="46" t="n">
        <v>0.13</v>
      </c>
      <c r="D10" s="47" t="n">
        <f aca="false">C10-B10</f>
        <v>0.02</v>
      </c>
      <c r="E10" s="42" t="s">
        <v>252</v>
      </c>
      <c r="F10" s="43" t="s">
        <v>253</v>
      </c>
      <c r="G10" s="6"/>
      <c r="H10" s="6"/>
      <c r="I10" s="6"/>
      <c r="J10" s="6"/>
      <c r="K10" s="6"/>
      <c r="L10" s="6"/>
    </row>
    <row r="11" customFormat="false" ht="27.75" hidden="false" customHeight="true" outlineLevel="0" collapsed="false">
      <c r="A11" s="38" t="s">
        <v>254</v>
      </c>
      <c r="B11" s="45" t="n">
        <f aca="false">'Parámetros Sistema'!B21</f>
        <v>0.16</v>
      </c>
      <c r="C11" s="46" t="n">
        <v>0.18</v>
      </c>
      <c r="D11" s="47" t="n">
        <f aca="false">C11-B11</f>
        <v>0.02</v>
      </c>
      <c r="E11" s="42" t="s">
        <v>252</v>
      </c>
      <c r="F11" s="43" t="s">
        <v>255</v>
      </c>
      <c r="G11" s="6"/>
      <c r="H11" s="6"/>
      <c r="I11" s="6"/>
      <c r="J11" s="6"/>
      <c r="K11" s="6"/>
      <c r="L11" s="6"/>
    </row>
    <row r="12" customFormat="false" ht="27.75" hidden="false" customHeight="true" outlineLevel="0" collapsed="false">
      <c r="A12" s="38" t="s">
        <v>29</v>
      </c>
      <c r="B12" s="45" t="n">
        <f aca="false">'Parámetros Sistema'!B23</f>
        <v>0.65</v>
      </c>
      <c r="C12" s="46" t="n">
        <v>0.55</v>
      </c>
      <c r="D12" s="47" t="n">
        <f aca="false">C12-B12</f>
        <v>-0.1</v>
      </c>
      <c r="E12" s="42" t="s">
        <v>256</v>
      </c>
      <c r="F12" s="43" t="s">
        <v>257</v>
      </c>
      <c r="G12" s="6"/>
      <c r="H12" s="6"/>
      <c r="I12" s="6"/>
      <c r="J12" s="6"/>
      <c r="K12" s="6"/>
      <c r="L12" s="6"/>
    </row>
    <row r="13" customFormat="false" ht="27.75" hidden="false" customHeight="true" outlineLevel="0" collapsed="false">
      <c r="A13" s="38" t="s">
        <v>258</v>
      </c>
      <c r="B13" s="45" t="n">
        <f aca="false">'Parámetros Sistema'!B24</f>
        <v>0.4</v>
      </c>
      <c r="C13" s="46" t="n">
        <v>0.35</v>
      </c>
      <c r="D13" s="47" t="n">
        <f aca="false">C13-B13</f>
        <v>-0.05</v>
      </c>
      <c r="E13" s="42" t="s">
        <v>15</v>
      </c>
      <c r="F13" s="43" t="s">
        <v>259</v>
      </c>
      <c r="G13" s="6"/>
      <c r="H13" s="6"/>
      <c r="I13" s="6"/>
      <c r="J13" s="6"/>
      <c r="K13" s="6"/>
      <c r="L13" s="6"/>
    </row>
    <row r="14" customFormat="false" ht="27.75" hidden="false" customHeight="true" outlineLevel="0" collapsed="false">
      <c r="A14" s="38" t="s">
        <v>260</v>
      </c>
      <c r="B14" s="45" t="n">
        <f aca="false">'Parámetros Sistema'!B25</f>
        <v>1.5</v>
      </c>
      <c r="C14" s="46" t="n">
        <v>1.2</v>
      </c>
      <c r="D14" s="47" t="n">
        <f aca="false">C14-B14</f>
        <v>-0.3</v>
      </c>
      <c r="E14" s="42" t="s">
        <v>15</v>
      </c>
      <c r="F14" s="43" t="s">
        <v>261</v>
      </c>
      <c r="G14" s="6"/>
      <c r="H14" s="6"/>
      <c r="I14" s="6"/>
      <c r="J14" s="6"/>
      <c r="K14" s="6"/>
      <c r="L14" s="6"/>
    </row>
    <row r="15" customFormat="false" ht="27.75" hidden="false" customHeight="true" outlineLevel="0" collapsed="false">
      <c r="A15" s="38" t="s">
        <v>33</v>
      </c>
      <c r="B15" s="45" t="n">
        <f aca="false">'Parámetros Sistema'!B26</f>
        <v>0.8</v>
      </c>
      <c r="C15" s="46" t="n">
        <v>0.7</v>
      </c>
      <c r="D15" s="47" t="n">
        <f aca="false">C15-B15</f>
        <v>-0.1</v>
      </c>
      <c r="E15" s="42" t="s">
        <v>262</v>
      </c>
      <c r="F15" s="43" t="s">
        <v>263</v>
      </c>
      <c r="G15" s="6"/>
      <c r="H15" s="6"/>
      <c r="I15" s="6"/>
      <c r="J15" s="6"/>
      <c r="K15" s="6"/>
      <c r="L15" s="6"/>
    </row>
    <row r="16" customFormat="false" ht="27.75" hidden="false" customHeight="true" outlineLevel="0" collapsed="false">
      <c r="A16" s="38" t="s">
        <v>264</v>
      </c>
      <c r="B16" s="44" t="n">
        <v>65</v>
      </c>
      <c r="C16" s="40" t="n">
        <v>67</v>
      </c>
      <c r="D16" s="41" t="n">
        <f aca="false">C16-B16</f>
        <v>2</v>
      </c>
      <c r="E16" s="42" t="s">
        <v>7</v>
      </c>
      <c r="F16" s="43" t="s">
        <v>265</v>
      </c>
      <c r="G16" s="6"/>
      <c r="H16" s="6"/>
      <c r="I16" s="6"/>
      <c r="J16" s="6"/>
      <c r="K16" s="6"/>
      <c r="L16" s="6"/>
    </row>
    <row r="17" customFormat="false" ht="27.75" hidden="false" customHeight="true" outlineLevel="0" collapsed="false">
      <c r="A17" s="38" t="s">
        <v>266</v>
      </c>
      <c r="B17" s="45" t="n">
        <f aca="false">'Parámetros Sistema'!B28</f>
        <v>0.18</v>
      </c>
      <c r="C17" s="46" t="n">
        <v>0.12</v>
      </c>
      <c r="D17" s="47" t="n">
        <f aca="false">C17-B17</f>
        <v>-0.06</v>
      </c>
      <c r="E17" s="42" t="s">
        <v>15</v>
      </c>
      <c r="F17" s="43" t="s">
        <v>267</v>
      </c>
      <c r="G17" s="6"/>
      <c r="H17" s="6"/>
      <c r="I17" s="6"/>
      <c r="J17" s="6"/>
      <c r="K17" s="6"/>
      <c r="L17" s="6"/>
    </row>
    <row r="18" customFormat="false" ht="27.75" hidden="false" customHeight="true" outlineLevel="0" collapsed="false">
      <c r="A18" s="38" t="s">
        <v>268</v>
      </c>
      <c r="B18" s="45" t="n">
        <f aca="false">'Parámetros Sistema'!B27</f>
        <v>0.72</v>
      </c>
      <c r="C18" s="46" t="n">
        <v>0.8</v>
      </c>
      <c r="D18" s="47" t="n">
        <f aca="false">C18-B18</f>
        <v>0.0800000000000001</v>
      </c>
      <c r="E18" s="42" t="s">
        <v>269</v>
      </c>
      <c r="F18" s="43" t="s">
        <v>270</v>
      </c>
      <c r="G18" s="6"/>
      <c r="H18" s="6"/>
      <c r="I18" s="6"/>
      <c r="J18" s="6"/>
      <c r="K18" s="6"/>
      <c r="L18" s="6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A21" s="14" t="s">
        <v>271</v>
      </c>
      <c r="B21" s="14"/>
      <c r="C21" s="14"/>
      <c r="D21" s="14"/>
      <c r="E21" s="14"/>
      <c r="F21" s="14"/>
      <c r="G21" s="14"/>
      <c r="H21" s="14"/>
      <c r="I21" s="6"/>
      <c r="J21" s="6"/>
      <c r="K21" s="6"/>
      <c r="L21" s="6"/>
    </row>
    <row r="22" customFormat="false" ht="15" hidden="false" customHeight="true" outlineLevel="0" collapsed="false">
      <c r="A22" s="17" t="s">
        <v>272</v>
      </c>
      <c r="B22" s="17"/>
      <c r="C22" s="17"/>
      <c r="D22" s="17"/>
      <c r="E22" s="17"/>
      <c r="F22" s="17"/>
      <c r="G22" s="17"/>
      <c r="H22" s="17"/>
      <c r="I22" s="6"/>
      <c r="J22" s="6"/>
      <c r="K22" s="6"/>
      <c r="L22" s="6"/>
    </row>
    <row r="23" customFormat="false" ht="15" hidden="false" customHeight="true" outlineLevel="0" collapsed="false">
      <c r="A23" s="15" t="s">
        <v>273</v>
      </c>
      <c r="B23" s="15" t="s">
        <v>274</v>
      </c>
      <c r="C23" s="15" t="s">
        <v>275</v>
      </c>
      <c r="D23" s="15" t="s">
        <v>276</v>
      </c>
      <c r="E23" s="15" t="s">
        <v>277</v>
      </c>
      <c r="F23" s="15" t="s">
        <v>278</v>
      </c>
      <c r="G23" s="15" t="s">
        <v>279</v>
      </c>
      <c r="H23" s="15" t="s">
        <v>280</v>
      </c>
      <c r="I23" s="6"/>
      <c r="J23" s="6"/>
      <c r="K23" s="6"/>
      <c r="L23" s="6"/>
    </row>
    <row r="24" customFormat="false" ht="19.5" hidden="false" customHeight="true" outlineLevel="0" collapsed="false">
      <c r="A24" s="38" t="s">
        <v>281</v>
      </c>
      <c r="B24" s="48" t="n">
        <v>-3</v>
      </c>
      <c r="C24" s="48" t="n">
        <v>-1</v>
      </c>
      <c r="D24" s="49" t="n">
        <v>0</v>
      </c>
      <c r="E24" s="49" t="n">
        <v>0</v>
      </c>
      <c r="F24" s="49" t="n">
        <v>0</v>
      </c>
      <c r="G24" s="48" t="n">
        <v>-4</v>
      </c>
      <c r="H24" s="50" t="s">
        <v>282</v>
      </c>
      <c r="I24" s="6"/>
      <c r="J24" s="6"/>
      <c r="K24" s="6"/>
      <c r="L24" s="6"/>
    </row>
    <row r="25" customFormat="false" ht="19.5" hidden="false" customHeight="true" outlineLevel="0" collapsed="false">
      <c r="A25" s="38" t="s">
        <v>283</v>
      </c>
      <c r="B25" s="48" t="n">
        <v>-2</v>
      </c>
      <c r="C25" s="48" t="n">
        <v>-2</v>
      </c>
      <c r="D25" s="49" t="n">
        <v>0</v>
      </c>
      <c r="E25" s="48" t="n">
        <v>-4</v>
      </c>
      <c r="F25" s="49" t="n">
        <v>0</v>
      </c>
      <c r="G25" s="48" t="n">
        <v>-8</v>
      </c>
      <c r="H25" s="50" t="s">
        <v>284</v>
      </c>
      <c r="I25" s="6"/>
      <c r="J25" s="6"/>
      <c r="K25" s="6"/>
      <c r="L25" s="6"/>
    </row>
    <row r="26" customFormat="false" ht="19.5" hidden="false" customHeight="true" outlineLevel="0" collapsed="false">
      <c r="A26" s="38" t="s">
        <v>285</v>
      </c>
      <c r="B26" s="48" t="n">
        <v>-1</v>
      </c>
      <c r="C26" s="48" t="n">
        <v>-1</v>
      </c>
      <c r="D26" s="49" t="n">
        <v>0</v>
      </c>
      <c r="E26" s="48" t="n">
        <v>-5</v>
      </c>
      <c r="F26" s="49" t="n">
        <v>0</v>
      </c>
      <c r="G26" s="48" t="n">
        <v>-7</v>
      </c>
      <c r="H26" s="50" t="s">
        <v>286</v>
      </c>
      <c r="I26" s="6"/>
      <c r="J26" s="6"/>
      <c r="K26" s="6"/>
      <c r="L26" s="6"/>
    </row>
    <row r="27" customFormat="false" ht="19.5" hidden="false" customHeight="true" outlineLevel="0" collapsed="false">
      <c r="A27" s="38" t="s">
        <v>287</v>
      </c>
      <c r="B27" s="48" t="n">
        <v>-4</v>
      </c>
      <c r="C27" s="49" t="n">
        <v>0</v>
      </c>
      <c r="D27" s="49" t="n">
        <v>0</v>
      </c>
      <c r="E27" s="48" t="n">
        <v>-1</v>
      </c>
      <c r="F27" s="49" t="n">
        <v>0</v>
      </c>
      <c r="G27" s="48" t="n">
        <v>-5</v>
      </c>
      <c r="H27" s="50" t="s">
        <v>288</v>
      </c>
      <c r="I27" s="6"/>
      <c r="J27" s="6"/>
      <c r="K27" s="6"/>
      <c r="L27" s="6"/>
    </row>
    <row r="28" customFormat="false" ht="19.5" hidden="false" customHeight="true" outlineLevel="0" collapsed="false">
      <c r="A28" s="38" t="s">
        <v>289</v>
      </c>
      <c r="B28" s="48" t="n">
        <v>-5</v>
      </c>
      <c r="C28" s="49" t="n">
        <v>0</v>
      </c>
      <c r="D28" s="49" t="n">
        <v>0</v>
      </c>
      <c r="E28" s="48" t="n">
        <v>-1</v>
      </c>
      <c r="F28" s="49" t="n">
        <v>0</v>
      </c>
      <c r="G28" s="48" t="n">
        <v>-6</v>
      </c>
      <c r="H28" s="50" t="s">
        <v>290</v>
      </c>
      <c r="I28" s="6"/>
      <c r="J28" s="6"/>
      <c r="K28" s="6"/>
      <c r="L28" s="6"/>
    </row>
    <row r="29" customFormat="false" ht="19.5" hidden="false" customHeight="true" outlineLevel="0" collapsed="false">
      <c r="A29" s="38" t="s">
        <v>291</v>
      </c>
      <c r="B29" s="48" t="n">
        <v>-1</v>
      </c>
      <c r="C29" s="49" t="n">
        <v>0</v>
      </c>
      <c r="D29" s="48" t="n">
        <v>-4</v>
      </c>
      <c r="E29" s="49" t="n">
        <v>0</v>
      </c>
      <c r="F29" s="49" t="n">
        <v>0</v>
      </c>
      <c r="G29" s="48" t="n">
        <v>-5</v>
      </c>
      <c r="H29" s="50" t="s">
        <v>292</v>
      </c>
      <c r="I29" s="6"/>
      <c r="J29" s="6"/>
      <c r="K29" s="6"/>
      <c r="L29" s="6"/>
    </row>
    <row r="30" customFormat="false" ht="19.5" hidden="false" customHeight="true" outlineLevel="0" collapsed="false">
      <c r="A30" s="38" t="s">
        <v>293</v>
      </c>
      <c r="B30" s="48" t="n">
        <v>-2</v>
      </c>
      <c r="C30" s="48" t="n">
        <v>-6</v>
      </c>
      <c r="D30" s="49" t="n">
        <v>0</v>
      </c>
      <c r="E30" s="48" t="n">
        <v>-1</v>
      </c>
      <c r="F30" s="48" t="n">
        <v>-2</v>
      </c>
      <c r="G30" s="48" t="n">
        <v>-11</v>
      </c>
      <c r="H30" s="50" t="s">
        <v>294</v>
      </c>
      <c r="I30" s="6"/>
      <c r="J30" s="6"/>
      <c r="K30" s="6"/>
      <c r="L30" s="6"/>
    </row>
    <row r="31" customFormat="false" ht="19.5" hidden="false" customHeight="true" outlineLevel="0" collapsed="false">
      <c r="A31" s="38" t="s">
        <v>295</v>
      </c>
      <c r="B31" s="49" t="n">
        <v>0</v>
      </c>
      <c r="C31" s="48" t="n">
        <v>-2</v>
      </c>
      <c r="D31" s="49" t="n">
        <v>0</v>
      </c>
      <c r="E31" s="49" t="n">
        <v>0</v>
      </c>
      <c r="F31" s="48" t="n">
        <v>-3</v>
      </c>
      <c r="G31" s="48" t="n">
        <v>-5</v>
      </c>
      <c r="H31" s="50" t="s">
        <v>296</v>
      </c>
      <c r="I31" s="6"/>
      <c r="J31" s="6"/>
      <c r="K31" s="6"/>
      <c r="L31" s="6"/>
    </row>
    <row r="32" customFormat="false" ht="19.5" hidden="false" customHeight="true" outlineLevel="0" collapsed="false">
      <c r="A32" s="38" t="s">
        <v>297</v>
      </c>
      <c r="B32" s="48" t="n">
        <v>-1</v>
      </c>
      <c r="C32" s="48" t="n">
        <v>-5</v>
      </c>
      <c r="D32" s="49" t="n">
        <v>0</v>
      </c>
      <c r="E32" s="48" t="n">
        <v>-2</v>
      </c>
      <c r="F32" s="49" t="n">
        <v>0</v>
      </c>
      <c r="G32" s="48" t="n">
        <v>-8</v>
      </c>
      <c r="H32" s="50" t="s">
        <v>298</v>
      </c>
      <c r="I32" s="6"/>
      <c r="J32" s="6"/>
      <c r="K32" s="6"/>
      <c r="L32" s="6"/>
    </row>
    <row r="33" customFormat="false" ht="19.5" hidden="false" customHeight="true" outlineLevel="0" collapsed="false">
      <c r="A33" s="38" t="s">
        <v>299</v>
      </c>
      <c r="B33" s="49" t="n">
        <v>0</v>
      </c>
      <c r="C33" s="48" t="n">
        <v>-4</v>
      </c>
      <c r="D33" s="49" t="n">
        <v>0</v>
      </c>
      <c r="E33" s="48" t="n">
        <v>-1</v>
      </c>
      <c r="F33" s="48" t="n">
        <v>-1</v>
      </c>
      <c r="G33" s="48" t="n">
        <v>-6</v>
      </c>
      <c r="H33" s="50" t="s">
        <v>300</v>
      </c>
      <c r="I33" s="6"/>
      <c r="J33" s="6"/>
      <c r="K33" s="6"/>
      <c r="L33" s="6"/>
    </row>
    <row r="34" customFormat="false" ht="19.5" hidden="false" customHeight="true" outlineLevel="0" collapsed="false">
      <c r="A34" s="38" t="s">
        <v>301</v>
      </c>
      <c r="B34" s="51" t="n">
        <v>2</v>
      </c>
      <c r="C34" s="48" t="n">
        <v>-1</v>
      </c>
      <c r="D34" s="49" t="n">
        <v>0</v>
      </c>
      <c r="E34" s="49" t="n">
        <v>0</v>
      </c>
      <c r="F34" s="48" t="n">
        <v>-8</v>
      </c>
      <c r="G34" s="48" t="n">
        <v>-7</v>
      </c>
      <c r="H34" s="50" t="s">
        <v>302</v>
      </c>
      <c r="I34" s="6"/>
      <c r="J34" s="6"/>
      <c r="K34" s="6"/>
      <c r="L34" s="6"/>
    </row>
    <row r="35" customFormat="false" ht="19.5" hidden="false" customHeight="true" outlineLevel="0" collapsed="false">
      <c r="A35" s="38" t="s">
        <v>303</v>
      </c>
      <c r="B35" s="51" t="n">
        <v>3</v>
      </c>
      <c r="C35" s="51" t="n">
        <v>1</v>
      </c>
      <c r="D35" s="48" t="n">
        <v>-2</v>
      </c>
      <c r="E35" s="51" t="n">
        <v>1</v>
      </c>
      <c r="F35" s="49" t="n">
        <v>0</v>
      </c>
      <c r="G35" s="51" t="n">
        <v>3</v>
      </c>
      <c r="H35" s="50" t="s">
        <v>304</v>
      </c>
      <c r="I35" s="6"/>
      <c r="J35" s="6"/>
      <c r="K35" s="6"/>
      <c r="L35" s="6"/>
    </row>
    <row r="36" customFormat="false" ht="19.5" hidden="false" customHeight="true" outlineLevel="0" collapsed="false">
      <c r="A36" s="38" t="s">
        <v>305</v>
      </c>
      <c r="B36" s="48" t="n">
        <v>-3</v>
      </c>
      <c r="C36" s="48" t="n">
        <v>-2</v>
      </c>
      <c r="D36" s="51" t="n">
        <v>1</v>
      </c>
      <c r="E36" s="48" t="n">
        <v>-1</v>
      </c>
      <c r="F36" s="48" t="n">
        <v>-2</v>
      </c>
      <c r="G36" s="48" t="n">
        <v>-7</v>
      </c>
      <c r="H36" s="50" t="s">
        <v>306</v>
      </c>
      <c r="I36" s="6"/>
      <c r="J36" s="6"/>
      <c r="K36" s="6"/>
      <c r="L36" s="6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5" hidden="false" customHeight="true" outlineLevel="0" collapsed="false">
      <c r="A39" s="14" t="s">
        <v>307</v>
      </c>
      <c r="B39" s="14"/>
      <c r="C39" s="14"/>
      <c r="D39" s="14"/>
      <c r="E39" s="14"/>
      <c r="F39" s="14"/>
      <c r="G39" s="6"/>
      <c r="H39" s="6"/>
      <c r="I39" s="6"/>
      <c r="J39" s="6"/>
      <c r="K39" s="6"/>
      <c r="L39" s="6"/>
    </row>
    <row r="40" customFormat="false" ht="26.25" hidden="false" customHeight="true" outlineLevel="0" collapsed="false">
      <c r="A40" s="15" t="s">
        <v>273</v>
      </c>
      <c r="B40" s="15" t="s">
        <v>308</v>
      </c>
      <c r="C40" s="15" t="s">
        <v>309</v>
      </c>
      <c r="D40" s="15" t="s">
        <v>310</v>
      </c>
      <c r="E40" s="15" t="s">
        <v>311</v>
      </c>
      <c r="F40" s="15" t="s">
        <v>312</v>
      </c>
      <c r="G40" s="6"/>
      <c r="H40" s="6"/>
      <c r="I40" s="6"/>
      <c r="J40" s="6"/>
      <c r="K40" s="6"/>
      <c r="L40" s="6"/>
    </row>
    <row r="41" customFormat="false" ht="15" hidden="false" customHeight="true" outlineLevel="0" collapsed="false">
      <c r="A41" s="38" t="s">
        <v>313</v>
      </c>
      <c r="B41" s="52" t="n">
        <v>0.0015</v>
      </c>
      <c r="C41" s="52" t="n">
        <v>0.006</v>
      </c>
      <c r="D41" s="52" t="n">
        <v>0.012</v>
      </c>
      <c r="E41" s="50" t="s">
        <v>314</v>
      </c>
      <c r="F41" s="50" t="s">
        <v>315</v>
      </c>
      <c r="G41" s="6"/>
      <c r="H41" s="6"/>
      <c r="I41" s="6"/>
      <c r="J41" s="6"/>
      <c r="K41" s="6"/>
      <c r="L41" s="6"/>
    </row>
    <row r="42" customFormat="false" ht="15" hidden="false" customHeight="true" outlineLevel="0" collapsed="false">
      <c r="A42" s="38" t="s">
        <v>316</v>
      </c>
      <c r="B42" s="52" t="n">
        <v>0.0025</v>
      </c>
      <c r="C42" s="52" t="n">
        <v>0.011</v>
      </c>
      <c r="D42" s="52" t="n">
        <v>0.028</v>
      </c>
      <c r="E42" s="50" t="s">
        <v>317</v>
      </c>
      <c r="F42" s="50" t="s">
        <v>315</v>
      </c>
      <c r="G42" s="6"/>
      <c r="H42" s="6"/>
      <c r="I42" s="6"/>
      <c r="J42" s="6"/>
      <c r="K42" s="6"/>
      <c r="L42" s="6"/>
    </row>
    <row r="43" customFormat="false" ht="15" hidden="false" customHeight="true" outlineLevel="0" collapsed="false">
      <c r="A43" s="38" t="s">
        <v>287</v>
      </c>
      <c r="B43" s="52" t="n">
        <v>0.001</v>
      </c>
      <c r="C43" s="52" t="n">
        <v>0.0045</v>
      </c>
      <c r="D43" s="52" t="n">
        <v>0.009</v>
      </c>
      <c r="E43" s="50" t="s">
        <v>315</v>
      </c>
      <c r="F43" s="50" t="s">
        <v>318</v>
      </c>
      <c r="G43" s="6"/>
      <c r="H43" s="6"/>
      <c r="I43" s="6"/>
      <c r="J43" s="6"/>
      <c r="K43" s="6"/>
      <c r="L43" s="6"/>
    </row>
    <row r="44" customFormat="false" ht="15" hidden="false" customHeight="true" outlineLevel="0" collapsed="false">
      <c r="A44" s="38" t="s">
        <v>319</v>
      </c>
      <c r="B44" s="52" t="n">
        <v>0.008</v>
      </c>
      <c r="C44" s="52" t="n">
        <v>0.009</v>
      </c>
      <c r="D44" s="52" t="n">
        <v>0.01</v>
      </c>
      <c r="E44" s="50" t="s">
        <v>320</v>
      </c>
      <c r="F44" s="50" t="s">
        <v>318</v>
      </c>
      <c r="G44" s="6"/>
      <c r="H44" s="6"/>
      <c r="I44" s="6"/>
      <c r="J44" s="6"/>
      <c r="K44" s="6"/>
      <c r="L44" s="6"/>
    </row>
    <row r="45" customFormat="false" ht="15" hidden="false" customHeight="true" outlineLevel="0" collapsed="false">
      <c r="A45" s="38" t="s">
        <v>293</v>
      </c>
      <c r="B45" s="52" t="n">
        <v>0.002</v>
      </c>
      <c r="C45" s="52" t="n">
        <v>0.007</v>
      </c>
      <c r="D45" s="52" t="n">
        <v>0.014</v>
      </c>
      <c r="E45" s="50" t="s">
        <v>315</v>
      </c>
      <c r="F45" s="50" t="s">
        <v>315</v>
      </c>
      <c r="G45" s="6"/>
      <c r="H45" s="6"/>
      <c r="I45" s="6"/>
      <c r="J45" s="6"/>
      <c r="K45" s="6"/>
      <c r="L45" s="6"/>
    </row>
    <row r="46" customFormat="false" ht="15" hidden="false" customHeight="true" outlineLevel="0" collapsed="false">
      <c r="A46" s="38" t="s">
        <v>321</v>
      </c>
      <c r="B46" s="52" t="n">
        <v>0.0015</v>
      </c>
      <c r="C46" s="52" t="n">
        <v>0.0035</v>
      </c>
      <c r="D46" s="52" t="n">
        <v>0.005</v>
      </c>
      <c r="E46" s="50" t="s">
        <v>322</v>
      </c>
      <c r="F46" s="50" t="s">
        <v>318</v>
      </c>
      <c r="G46" s="6"/>
      <c r="H46" s="6"/>
      <c r="I46" s="6"/>
      <c r="J46" s="6"/>
      <c r="K46" s="6"/>
      <c r="L46" s="6"/>
    </row>
    <row r="47" customFormat="false" ht="15" hidden="false" customHeight="true" outlineLevel="0" collapsed="false">
      <c r="A47" s="38" t="s">
        <v>323</v>
      </c>
      <c r="B47" s="52" t="n">
        <v>0.003</v>
      </c>
      <c r="C47" s="52" t="n">
        <v>0.008</v>
      </c>
      <c r="D47" s="52" t="n">
        <v>0.015</v>
      </c>
      <c r="E47" s="50" t="s">
        <v>322</v>
      </c>
      <c r="F47" s="50" t="s">
        <v>318</v>
      </c>
      <c r="G47" s="6"/>
      <c r="H47" s="6"/>
      <c r="I47" s="6"/>
      <c r="J47" s="6"/>
      <c r="K47" s="6"/>
      <c r="L47" s="6"/>
    </row>
    <row r="48" customFormat="false" ht="15" hidden="false" customHeight="true" outlineLevel="0" collapsed="false">
      <c r="A48" s="38" t="s">
        <v>324</v>
      </c>
      <c r="B48" s="52" t="n">
        <v>0.002</v>
      </c>
      <c r="C48" s="52" t="n">
        <v>0.005</v>
      </c>
      <c r="D48" s="52" t="n">
        <v>0.008</v>
      </c>
      <c r="E48" s="50" t="s">
        <v>315</v>
      </c>
      <c r="F48" s="50" t="s">
        <v>325</v>
      </c>
      <c r="G48" s="6"/>
      <c r="H48" s="6"/>
      <c r="I48" s="6"/>
      <c r="J48" s="6"/>
      <c r="K48" s="6"/>
      <c r="L48" s="6"/>
    </row>
    <row r="49" customFormat="false" ht="15" hidden="false" customHeight="true" outlineLevel="0" collapsed="false">
      <c r="A49" s="38" t="s">
        <v>326</v>
      </c>
      <c r="B49" s="52" t="n">
        <v>0.0025</v>
      </c>
      <c r="C49" s="52" t="n">
        <v>0.007</v>
      </c>
      <c r="D49" s="52" t="n">
        <v>0.011</v>
      </c>
      <c r="E49" s="50" t="s">
        <v>317</v>
      </c>
      <c r="F49" s="50" t="s">
        <v>327</v>
      </c>
      <c r="G49" s="6"/>
      <c r="H49" s="6"/>
      <c r="I49" s="6"/>
      <c r="J49" s="6"/>
      <c r="K49" s="6"/>
      <c r="L49" s="6"/>
    </row>
    <row r="50" customFormat="false" ht="15" hidden="false" customHeight="true" outlineLevel="0" collapsed="false">
      <c r="A50" s="38" t="s">
        <v>328</v>
      </c>
      <c r="B50" s="52" t="n">
        <v>0.01</v>
      </c>
      <c r="C50" s="52" t="n">
        <v>0.025</v>
      </c>
      <c r="D50" s="52" t="n">
        <v>0.04</v>
      </c>
      <c r="E50" s="50" t="s">
        <v>315</v>
      </c>
      <c r="F50" s="50" t="s">
        <v>329</v>
      </c>
      <c r="G50" s="6"/>
      <c r="H50" s="6"/>
      <c r="I50" s="6"/>
      <c r="J50" s="6"/>
      <c r="K50" s="6"/>
      <c r="L50" s="6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customFormat="false" ht="15" hidden="false" customHeight="true" outlineLevel="0" collapsed="false">
      <c r="A52" s="17" t="s">
        <v>330</v>
      </c>
      <c r="B52" s="17"/>
      <c r="C52" s="17"/>
      <c r="D52" s="17"/>
      <c r="E52" s="17"/>
      <c r="F52" s="17"/>
      <c r="G52" s="6"/>
      <c r="H52" s="6"/>
      <c r="I52" s="6"/>
      <c r="J52" s="6"/>
      <c r="K52" s="6"/>
      <c r="L52" s="6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15" hidden="false" customHeight="true" outlineLevel="0" collapsed="false">
      <c r="A54" s="14" t="s">
        <v>331</v>
      </c>
      <c r="B54" s="14"/>
      <c r="C54" s="14"/>
      <c r="D54" s="14"/>
      <c r="E54" s="14"/>
      <c r="F54" s="14"/>
      <c r="G54" s="14"/>
      <c r="H54" s="14"/>
      <c r="I54" s="6"/>
      <c r="J54" s="6"/>
      <c r="K54" s="6"/>
      <c r="L54" s="6"/>
    </row>
    <row r="55" customFormat="false" ht="18" hidden="false" customHeight="true" outlineLevel="0" collapsed="false">
      <c r="A55" s="32" t="s">
        <v>332</v>
      </c>
      <c r="B55" s="32"/>
      <c r="C55" s="32"/>
      <c r="D55" s="32"/>
      <c r="E55" s="32"/>
      <c r="F55" s="32"/>
      <c r="G55" s="32"/>
      <c r="H55" s="32"/>
      <c r="I55" s="6"/>
      <c r="J55" s="6"/>
      <c r="K55" s="6"/>
      <c r="L55" s="6"/>
    </row>
    <row r="56" customFormat="false" ht="18" hidden="false" customHeight="true" outlineLevel="0" collapsed="false">
      <c r="A56" s="32" t="s">
        <v>333</v>
      </c>
      <c r="B56" s="32"/>
      <c r="C56" s="32"/>
      <c r="D56" s="32"/>
      <c r="E56" s="32"/>
      <c r="F56" s="32"/>
      <c r="G56" s="32"/>
      <c r="H56" s="32"/>
      <c r="I56" s="6"/>
      <c r="J56" s="6"/>
      <c r="K56" s="6"/>
      <c r="L56" s="6"/>
    </row>
    <row r="57" customFormat="false" ht="18" hidden="false" customHeight="true" outlineLevel="0" collapsed="false">
      <c r="A57" s="32" t="s">
        <v>334</v>
      </c>
      <c r="B57" s="32"/>
      <c r="C57" s="32"/>
      <c r="D57" s="32"/>
      <c r="E57" s="32"/>
      <c r="F57" s="32"/>
      <c r="G57" s="32"/>
      <c r="H57" s="32"/>
      <c r="I57" s="6"/>
      <c r="J57" s="6"/>
      <c r="K57" s="6"/>
      <c r="L57" s="6"/>
    </row>
    <row r="58" customFormat="false" ht="18" hidden="false" customHeight="true" outlineLevel="0" collapsed="false">
      <c r="A58" s="32" t="s">
        <v>335</v>
      </c>
      <c r="B58" s="32"/>
      <c r="C58" s="32"/>
      <c r="D58" s="32"/>
      <c r="E58" s="32"/>
      <c r="F58" s="32"/>
      <c r="G58" s="32"/>
      <c r="H58" s="32"/>
      <c r="I58" s="6"/>
      <c r="J58" s="6"/>
      <c r="K58" s="6"/>
      <c r="L58" s="6"/>
    </row>
    <row r="59" customFormat="false" ht="18" hidden="false" customHeight="true" outlineLevel="0" collapsed="false">
      <c r="A59" s="32" t="s">
        <v>336</v>
      </c>
      <c r="B59" s="32"/>
      <c r="C59" s="32"/>
      <c r="D59" s="32"/>
      <c r="E59" s="32"/>
      <c r="F59" s="32"/>
      <c r="G59" s="32"/>
      <c r="H59" s="32"/>
      <c r="I59" s="6"/>
      <c r="J59" s="6"/>
      <c r="K59" s="6"/>
      <c r="L59" s="6"/>
    </row>
    <row r="60" customFormat="false" ht="18" hidden="false" customHeight="true" outlineLevel="0" collapsed="false">
      <c r="A60" s="32" t="s">
        <v>337</v>
      </c>
      <c r="B60" s="32"/>
      <c r="C60" s="32"/>
      <c r="D60" s="32"/>
      <c r="E60" s="32"/>
      <c r="F60" s="32"/>
      <c r="G60" s="32"/>
      <c r="H60" s="32"/>
      <c r="I60" s="6"/>
      <c r="J60" s="6"/>
      <c r="K60" s="6"/>
      <c r="L60" s="6"/>
    </row>
    <row r="61" customFormat="false" ht="18" hidden="false" customHeight="true" outlineLevel="0" collapsed="false">
      <c r="A61" s="32" t="s">
        <v>338</v>
      </c>
      <c r="B61" s="32"/>
      <c r="C61" s="32"/>
      <c r="D61" s="32"/>
      <c r="E61" s="32"/>
      <c r="F61" s="32"/>
      <c r="G61" s="32"/>
      <c r="H61" s="32"/>
      <c r="I61" s="6"/>
      <c r="J61" s="6"/>
      <c r="K61" s="6"/>
      <c r="L61" s="6"/>
    </row>
    <row r="62" customFormat="false" ht="18" hidden="false" customHeight="true" outlineLevel="0" collapsed="false">
      <c r="A62" s="32" t="s">
        <v>339</v>
      </c>
      <c r="B62" s="32"/>
      <c r="C62" s="32"/>
      <c r="D62" s="32"/>
      <c r="E62" s="32"/>
      <c r="F62" s="32"/>
      <c r="G62" s="32"/>
      <c r="H62" s="32"/>
      <c r="I62" s="6"/>
      <c r="J62" s="6"/>
      <c r="K62" s="6"/>
      <c r="L62" s="6"/>
    </row>
    <row r="63" customFormat="false" ht="18" hidden="false" customHeight="true" outlineLevel="0" collapsed="false">
      <c r="A63" s="32" t="s">
        <v>340</v>
      </c>
      <c r="B63" s="32"/>
      <c r="C63" s="32"/>
      <c r="D63" s="32"/>
      <c r="E63" s="32"/>
      <c r="F63" s="32"/>
      <c r="G63" s="32"/>
      <c r="H63" s="32"/>
      <c r="I63" s="6"/>
      <c r="J63" s="6"/>
      <c r="K63" s="6"/>
      <c r="L63" s="6"/>
    </row>
    <row r="64" customFormat="false" ht="18" hidden="false" customHeight="true" outlineLevel="0" collapsed="false">
      <c r="A64" s="32" t="s">
        <v>341</v>
      </c>
      <c r="B64" s="32"/>
      <c r="C64" s="32"/>
      <c r="D64" s="32"/>
      <c r="E64" s="32"/>
      <c r="F64" s="32"/>
      <c r="G64" s="32"/>
      <c r="H64" s="32"/>
      <c r="I64" s="6"/>
      <c r="J64" s="6"/>
      <c r="K64" s="6"/>
      <c r="L64" s="6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</sheetData>
  <mergeCells count="18">
    <mergeCell ref="A1:H1"/>
    <mergeCell ref="A2:H2"/>
    <mergeCell ref="A4:F4"/>
    <mergeCell ref="A21:H21"/>
    <mergeCell ref="A22:H22"/>
    <mergeCell ref="A39:F39"/>
    <mergeCell ref="A52:F52"/>
    <mergeCell ref="A54:H54"/>
    <mergeCell ref="A55:H55"/>
    <mergeCell ref="A56:H56"/>
    <mergeCell ref="A57:H57"/>
    <mergeCell ref="A58:H58"/>
    <mergeCell ref="A59:H59"/>
    <mergeCell ref="A60:H60"/>
    <mergeCell ref="A61:H61"/>
    <mergeCell ref="A62:H62"/>
    <mergeCell ref="A63:H63"/>
    <mergeCell ref="A64:H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8"/>
  </cols>
  <sheetData>
    <row r="1" customFormat="false" ht="19.5" hidden="false" customHeight="true" outlineLevel="0" collapsed="false">
      <c r="A1" s="2" t="s">
        <v>342</v>
      </c>
      <c r="B1" s="2"/>
      <c r="C1" s="2"/>
      <c r="D1" s="2"/>
    </row>
    <row r="3" customFormat="false" ht="15" hidden="false" customHeight="true" outlineLevel="0" collapsed="false">
      <c r="A3" s="13" t="s">
        <v>343</v>
      </c>
    </row>
    <row r="5" customFormat="false" ht="15" hidden="false" customHeight="true" outlineLevel="0" collapsed="false">
      <c r="A5" s="5" t="s">
        <v>344</v>
      </c>
      <c r="B5" s="5" t="s">
        <v>345</v>
      </c>
      <c r="C5" s="5" t="s">
        <v>346</v>
      </c>
      <c r="D5" s="5" t="s">
        <v>347</v>
      </c>
    </row>
    <row r="6" customFormat="false" ht="15" hidden="false" customHeight="true" outlineLevel="0" collapsed="false">
      <c r="A6" s="25" t="s">
        <v>348</v>
      </c>
      <c r="B6" s="53" t="n">
        <f aca="false">'Parámetros Sistema'!B16</f>
        <v>0.22</v>
      </c>
      <c r="C6" s="54" t="s">
        <v>349</v>
      </c>
      <c r="D6" s="54" t="s">
        <v>350</v>
      </c>
    </row>
    <row r="7" customFormat="false" ht="15" hidden="false" customHeight="true" outlineLevel="0" collapsed="false">
      <c r="A7" s="25" t="s">
        <v>27</v>
      </c>
      <c r="B7" s="53" t="n">
        <f aca="false">'Parámetros Sistema'!B22</f>
        <v>0.27</v>
      </c>
      <c r="C7" s="54" t="s">
        <v>351</v>
      </c>
      <c r="D7" s="54" t="s">
        <v>352</v>
      </c>
    </row>
    <row r="8" customFormat="false" ht="15" hidden="false" customHeight="true" outlineLevel="0" collapsed="false">
      <c r="A8" s="25" t="s">
        <v>353</v>
      </c>
      <c r="B8" s="53" t="n">
        <f aca="false">'Parámetros Sistema'!B23</f>
        <v>0.65</v>
      </c>
      <c r="C8" s="54" t="s">
        <v>354</v>
      </c>
      <c r="D8" s="54" t="s">
        <v>350</v>
      </c>
    </row>
    <row r="9" customFormat="false" ht="15" hidden="false" customHeight="true" outlineLevel="0" collapsed="false">
      <c r="A9" s="25" t="s">
        <v>355</v>
      </c>
      <c r="B9" s="53" t="n">
        <f aca="false">'Parámetros Sistema'!B29</f>
        <v>0.025</v>
      </c>
      <c r="C9" s="54" t="s">
        <v>356</v>
      </c>
      <c r="D9" s="54" t="s">
        <v>357</v>
      </c>
    </row>
    <row r="10" customFormat="false" ht="15" hidden="false" customHeight="true" outlineLevel="0" collapsed="false">
      <c r="A10" s="25" t="s">
        <v>49</v>
      </c>
      <c r="B10" s="53" t="n">
        <f aca="false">'Parámetros Sistema'!B39</f>
        <v>0.018</v>
      </c>
      <c r="C10" s="54" t="s">
        <v>356</v>
      </c>
      <c r="D10" s="54" t="s">
        <v>358</v>
      </c>
    </row>
    <row r="11" customFormat="false" ht="15" hidden="false" customHeight="true" outlineLevel="0" collapsed="false">
      <c r="A11" s="25" t="s">
        <v>359</v>
      </c>
      <c r="B11" s="53" t="n">
        <f aca="false">'Parámetros Sistema'!B40</f>
        <v>-0.015</v>
      </c>
      <c r="C11" s="54" t="s">
        <v>360</v>
      </c>
      <c r="D11" s="54" t="s">
        <v>361</v>
      </c>
    </row>
    <row r="13" customFormat="false" ht="15" hidden="false" customHeight="true" outlineLevel="0" collapsed="false">
      <c r="A13" s="13" t="s">
        <v>362</v>
      </c>
    </row>
    <row r="14" customFormat="false" ht="15" hidden="false" customHeight="true" outlineLevel="0" collapsed="false">
      <c r="A14" s="1" t="s">
        <v>363</v>
      </c>
    </row>
    <row r="15" customFormat="false" ht="15" hidden="false" customHeight="true" outlineLevel="0" collapsed="false">
      <c r="A15" s="1" t="s">
        <v>364</v>
      </c>
    </row>
    <row r="16" customFormat="false" ht="15" hidden="false" customHeight="true" outlineLevel="0" collapsed="false">
      <c r="A16" s="1" t="s">
        <v>365</v>
      </c>
    </row>
    <row r="17" customFormat="false" ht="15" hidden="false" customHeight="true" outlineLevel="0" collapsed="false">
      <c r="A17" s="1" t="s">
        <v>366</v>
      </c>
    </row>
    <row r="18" customFormat="false" ht="15" hidden="false" customHeight="true" outlineLevel="0" collapsed="false">
      <c r="A18" s="1" t="s">
        <v>367</v>
      </c>
    </row>
    <row r="19" customFormat="false" ht="15" hidden="false" customHeight="true" outlineLevel="0" collapsed="false">
      <c r="A19" s="1" t="s">
        <v>368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5" min="3" style="1" width="14"/>
  </cols>
  <sheetData>
    <row r="1" customFormat="false" ht="19.5" hidden="false" customHeight="true" outlineLevel="0" collapsed="false">
      <c r="A1" s="2" t="s">
        <v>369</v>
      </c>
      <c r="B1" s="2"/>
      <c r="C1" s="2"/>
      <c r="D1" s="2"/>
      <c r="E1" s="2"/>
    </row>
    <row r="2" customFormat="false" ht="15" hidden="false" customHeight="true" outlineLevel="0" collapsed="false">
      <c r="A2" s="17" t="s">
        <v>370</v>
      </c>
      <c r="B2" s="17"/>
      <c r="C2" s="17"/>
      <c r="D2" s="17"/>
      <c r="E2" s="17"/>
    </row>
    <row r="4" customFormat="false" ht="15" hidden="false" customHeight="true" outlineLevel="0" collapsed="false">
      <c r="A4" s="13" t="s">
        <v>371</v>
      </c>
    </row>
    <row r="5" customFormat="false" ht="15" hidden="false" customHeight="true" outlineLevel="0" collapsed="false">
      <c r="A5" s="15" t="s">
        <v>372</v>
      </c>
      <c r="B5" s="15" t="s">
        <v>373</v>
      </c>
      <c r="C5" s="15" t="s">
        <v>374</v>
      </c>
      <c r="D5" s="15" t="s">
        <v>375</v>
      </c>
      <c r="E5" s="15" t="s">
        <v>376</v>
      </c>
    </row>
    <row r="6" customFormat="false" ht="15" hidden="false" customHeight="true" outlineLevel="0" collapsed="false">
      <c r="A6" s="25" t="s">
        <v>377</v>
      </c>
      <c r="B6" s="44" t="n">
        <v>0</v>
      </c>
      <c r="C6" s="55" t="n">
        <v>2</v>
      </c>
      <c r="D6" s="44" t="n">
        <f aca="false">C6-B6</f>
        <v>2</v>
      </c>
      <c r="E6" s="56" t="n">
        <v>0.35</v>
      </c>
    </row>
    <row r="7" customFormat="false" ht="15" hidden="false" customHeight="true" outlineLevel="0" collapsed="false">
      <c r="A7" s="25" t="s">
        <v>378</v>
      </c>
      <c r="B7" s="44" t="n">
        <v>0</v>
      </c>
      <c r="C7" s="46" t="n">
        <v>0.02</v>
      </c>
      <c r="D7" s="57" t="n">
        <f aca="false">C7-B7</f>
        <v>0.02</v>
      </c>
      <c r="E7" s="56" t="n">
        <v>0.25</v>
      </c>
    </row>
    <row r="8" customFormat="false" ht="15" hidden="false" customHeight="true" outlineLevel="0" collapsed="false">
      <c r="A8" s="25" t="s">
        <v>379</v>
      </c>
      <c r="B8" s="44" t="n">
        <v>0</v>
      </c>
      <c r="C8" s="46" t="n">
        <v>-0.05</v>
      </c>
      <c r="D8" s="57" t="n">
        <f aca="false">C8-B8</f>
        <v>-0.05</v>
      </c>
      <c r="E8" s="56" t="n">
        <v>0.3</v>
      </c>
    </row>
    <row r="9" customFormat="false" ht="15" hidden="false" customHeight="true" outlineLevel="0" collapsed="false">
      <c r="A9" s="25" t="s">
        <v>380</v>
      </c>
      <c r="B9" s="44" t="n">
        <v>0</v>
      </c>
      <c r="C9" s="46" t="n">
        <v>-0.1</v>
      </c>
      <c r="D9" s="57" t="n">
        <f aca="false">C9-B9</f>
        <v>-0.1</v>
      </c>
      <c r="E9" s="56" t="n">
        <v>0.15</v>
      </c>
    </row>
    <row r="10" customFormat="false" ht="15" hidden="false" customHeight="true" outlineLevel="0" collapsed="false">
      <c r="A10" s="25" t="s">
        <v>381</v>
      </c>
      <c r="B10" s="44" t="n">
        <v>0</v>
      </c>
      <c r="C10" s="46" t="n">
        <v>0.05</v>
      </c>
      <c r="D10" s="57" t="n">
        <f aca="false">C10-B10</f>
        <v>0.05</v>
      </c>
      <c r="E10" s="56" t="n">
        <v>0.2</v>
      </c>
    </row>
    <row r="11" customFormat="false" ht="15" hidden="false" customHeight="true" outlineLevel="0" collapsed="false">
      <c r="A11" s="25" t="s">
        <v>382</v>
      </c>
      <c r="B11" s="44" t="n">
        <v>0</v>
      </c>
      <c r="C11" s="46" t="n">
        <v>0</v>
      </c>
      <c r="D11" s="57" t="n">
        <f aca="false">C11-B11</f>
        <v>0</v>
      </c>
      <c r="E11" s="56" t="n">
        <v>0.1</v>
      </c>
    </row>
    <row r="13" customFormat="false" ht="15" hidden="false" customHeight="true" outlineLevel="0" collapsed="false">
      <c r="A13" s="13" t="s">
        <v>383</v>
      </c>
    </row>
    <row r="14" customFormat="false" ht="15" hidden="false" customHeight="true" outlineLevel="0" collapsed="false">
      <c r="A14" s="1" t="s">
        <v>384</v>
      </c>
      <c r="B14" s="58" t="n">
        <f aca="false">D6*0.006 + D7*0.45 + D8*(-0.28) + D9*(-0.12) + D10*0.14 + D11*0.007</f>
        <v>0.054</v>
      </c>
    </row>
    <row r="15" customFormat="false" ht="15" hidden="false" customHeight="true" outlineLevel="0" collapsed="false">
      <c r="A15" s="1" t="s">
        <v>385</v>
      </c>
      <c r="B15" s="59" t="n">
        <f aca="false">D6*(-2) + D7*(-250) + D8*120 + D9*50 + D10*(-20) + D11*(-7)</f>
        <v>-21</v>
      </c>
    </row>
    <row r="16" customFormat="false" ht="15" hidden="false" customHeight="true" outlineLevel="0" collapsed="false">
      <c r="A16" s="1" t="s">
        <v>386</v>
      </c>
      <c r="B16" s="60" t="n">
        <f aca="false">MIN(10,ABS(B15)*0.55)</f>
        <v>10</v>
      </c>
    </row>
    <row r="18" customFormat="false" ht="15" hidden="false" customHeight="true" outlineLevel="0" collapsed="false">
      <c r="A18" s="13" t="s">
        <v>387</v>
      </c>
    </row>
    <row r="19" customFormat="false" ht="15" hidden="false" customHeight="true" outlineLevel="0" collapsed="false">
      <c r="A19" s="1" t="s">
        <v>388</v>
      </c>
      <c r="B19" s="61" t="n">
        <v>0</v>
      </c>
    </row>
    <row r="20" customFormat="false" ht="15" hidden="false" customHeight="true" outlineLevel="0" collapsed="false">
      <c r="A20" s="1" t="s">
        <v>389</v>
      </c>
      <c r="B20" s="61" t="n">
        <v>0</v>
      </c>
    </row>
    <row r="21" customFormat="false" ht="15" hidden="false" customHeight="true" outlineLevel="0" collapsed="false">
      <c r="A21" s="1" t="s">
        <v>390</v>
      </c>
      <c r="B21" s="61" t="n">
        <v>10</v>
      </c>
    </row>
    <row r="22" customFormat="false" ht="15" hidden="false" customHeight="true" outlineLevel="0" collapsed="false">
      <c r="A22" s="1" t="s">
        <v>391</v>
      </c>
      <c r="B22" s="61" t="n">
        <v>1</v>
      </c>
    </row>
    <row r="24" customFormat="false" ht="17.25" hidden="false" customHeight="true" outlineLevel="0" collapsed="false">
      <c r="A24" s="62" t="s">
        <v>392</v>
      </c>
      <c r="B24" s="63" t="n">
        <f aca="false">B15*(1-0.35*B19)*(1-0.2*B20)*(1-0.15*IF(B21&gt;=15,1,0))*(1-0.25*B22)</f>
        <v>-15.75</v>
      </c>
    </row>
    <row r="26" customFormat="false" ht="15" hidden="false" customHeight="true" outlineLevel="0" collapsed="false">
      <c r="A26" s="13" t="s">
        <v>393</v>
      </c>
    </row>
    <row r="27" customFormat="false" ht="15" hidden="false" customHeight="true" outlineLevel="0" collapsed="false">
      <c r="A27" s="1" t="s">
        <v>394</v>
      </c>
    </row>
    <row r="28" customFormat="false" ht="15" hidden="false" customHeight="true" outlineLevel="0" collapsed="false">
      <c r="A28" s="1" t="s">
        <v>395</v>
      </c>
    </row>
    <row r="29" customFormat="false" ht="15" hidden="false" customHeight="true" outlineLevel="0" collapsed="false">
      <c r="A29" s="1" t="s">
        <v>396</v>
      </c>
    </row>
    <row r="30" customFormat="false" ht="15" hidden="false" customHeight="true" outlineLevel="0" collapsed="false">
      <c r="A30" s="1" t="s">
        <v>397</v>
      </c>
    </row>
    <row r="32" customFormat="false" ht="15" hidden="false" customHeight="true" outlineLevel="0" collapsed="false">
      <c r="A32" s="17" t="s">
        <v>398</v>
      </c>
      <c r="B32" s="17"/>
      <c r="C32" s="17"/>
      <c r="D32" s="17"/>
      <c r="E32" s="17"/>
    </row>
    <row r="36" customFormat="false" ht="15" hidden="false" customHeight="false" outlineLevel="0" collapsed="false">
      <c r="A36" s="18" t="s">
        <v>399</v>
      </c>
      <c r="B36" s="18"/>
      <c r="C36" s="18"/>
      <c r="D36" s="18"/>
      <c r="E36" s="18"/>
    </row>
    <row r="38" customFormat="false" ht="15" hidden="false" customHeight="false" outlineLevel="0" collapsed="false">
      <c r="A38" s="34" t="s">
        <v>400</v>
      </c>
    </row>
    <row r="39" customFormat="false" ht="15" hidden="false" customHeight="false" outlineLevel="0" collapsed="false">
      <c r="A39" s="1" t="s">
        <v>401</v>
      </c>
      <c r="B39" s="20" t="n">
        <v>0.28</v>
      </c>
    </row>
    <row r="40" customFormat="false" ht="15" hidden="false" customHeight="false" outlineLevel="0" collapsed="false">
      <c r="A40" s="1" t="s">
        <v>402</v>
      </c>
      <c r="B40" s="20" t="n">
        <v>0.02</v>
      </c>
    </row>
    <row r="41" customFormat="false" ht="15" hidden="false" customHeight="false" outlineLevel="0" collapsed="false">
      <c r="A41" s="1" t="s">
        <v>100</v>
      </c>
      <c r="B41" s="64" t="n">
        <v>-0.35</v>
      </c>
    </row>
    <row r="42" customFormat="false" ht="15" hidden="false" customHeight="false" outlineLevel="0" collapsed="false">
      <c r="A42" s="1" t="s">
        <v>403</v>
      </c>
      <c r="B42" s="64" t="n">
        <v>1.15</v>
      </c>
    </row>
    <row r="43" customFormat="false" ht="15" hidden="false" customHeight="false" outlineLevel="0" collapsed="false">
      <c r="A43" s="1" t="s">
        <v>404</v>
      </c>
      <c r="B43" s="65" t="n">
        <v>100</v>
      </c>
    </row>
    <row r="45" customFormat="false" ht="15" hidden="false" customHeight="false" outlineLevel="0" collapsed="false">
      <c r="A45" s="34" t="s">
        <v>405</v>
      </c>
    </row>
    <row r="46" customFormat="false" ht="15" hidden="false" customHeight="false" outlineLevel="0" collapsed="false">
      <c r="A46" s="1" t="s">
        <v>406</v>
      </c>
      <c r="B46" s="66" t="n">
        <f aca="false">B40/B39</f>
        <v>0.0714285714285714</v>
      </c>
    </row>
    <row r="47" customFormat="false" ht="15" hidden="false" customHeight="false" outlineLevel="0" collapsed="false">
      <c r="A47" s="1" t="s">
        <v>407</v>
      </c>
      <c r="B47" s="67" t="n">
        <f aca="false">-B40*B41</f>
        <v>0.007</v>
      </c>
    </row>
    <row r="48" customFormat="false" ht="15" hidden="false" customHeight="false" outlineLevel="0" collapsed="false">
      <c r="A48" s="1" t="s">
        <v>408</v>
      </c>
      <c r="B48" s="66" t="n">
        <f aca="false">B47*B42</f>
        <v>0.00805</v>
      </c>
    </row>
    <row r="49" customFormat="false" ht="15" hidden="false" customHeight="false" outlineLevel="0" collapsed="false">
      <c r="A49" s="1" t="s">
        <v>409</v>
      </c>
      <c r="B49" s="68" t="n">
        <f aca="false">-B46+B48</f>
        <v>-0.0633785714285714</v>
      </c>
    </row>
    <row r="51" customFormat="false" ht="15" hidden="false" customHeight="false" outlineLevel="0" collapsed="false">
      <c r="A51" s="23" t="s">
        <v>410</v>
      </c>
      <c r="B51" s="23"/>
      <c r="C51" s="23"/>
      <c r="D51" s="23"/>
      <c r="E51" s="23"/>
    </row>
    <row r="52" customFormat="false" ht="15" hidden="false" customHeight="false" outlineLevel="0" collapsed="false">
      <c r="A52" s="23" t="s">
        <v>411</v>
      </c>
      <c r="B52" s="23"/>
      <c r="C52" s="23"/>
      <c r="D52" s="23"/>
      <c r="E52" s="23"/>
    </row>
  </sheetData>
  <mergeCells count="6">
    <mergeCell ref="A1:E1"/>
    <mergeCell ref="A2:E2"/>
    <mergeCell ref="A32:E32"/>
    <mergeCell ref="A36:E36"/>
    <mergeCell ref="A51:E51"/>
    <mergeCell ref="A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45"/>
    <col collapsed="false" customWidth="true" hidden="false" outlineLevel="0" max="6" min="6" style="1" width="42"/>
  </cols>
  <sheetData>
    <row r="1" customFormat="false" ht="19.5" hidden="false" customHeight="true" outlineLevel="0" collapsed="false">
      <c r="A1" s="2" t="s">
        <v>412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7" t="s">
        <v>413</v>
      </c>
      <c r="B2" s="17"/>
      <c r="C2" s="17"/>
      <c r="D2" s="17"/>
      <c r="E2" s="17"/>
      <c r="F2" s="17"/>
      <c r="G2" s="17"/>
    </row>
    <row r="4" customFormat="false" ht="15" hidden="false" customHeight="true" outlineLevel="0" collapsed="false">
      <c r="A4" s="14" t="s">
        <v>414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15" t="s">
        <v>415</v>
      </c>
      <c r="B5" s="15" t="s">
        <v>416</v>
      </c>
      <c r="C5" s="15" t="s">
        <v>417</v>
      </c>
      <c r="D5" s="15" t="s">
        <v>418</v>
      </c>
      <c r="E5" s="15" t="s">
        <v>419</v>
      </c>
      <c r="F5" s="15" t="s">
        <v>420</v>
      </c>
    </row>
    <row r="6" customFormat="false" ht="31.5" hidden="false" customHeight="true" outlineLevel="0" collapsed="false">
      <c r="A6" s="38" t="s">
        <v>421</v>
      </c>
      <c r="B6" s="50" t="s">
        <v>422</v>
      </c>
      <c r="C6" s="50" t="s">
        <v>423</v>
      </c>
      <c r="D6" s="50" t="s">
        <v>322</v>
      </c>
      <c r="E6" s="50" t="s">
        <v>424</v>
      </c>
      <c r="F6" s="50" t="s">
        <v>425</v>
      </c>
    </row>
    <row r="7" customFormat="false" ht="31.5" hidden="false" customHeight="true" outlineLevel="0" collapsed="false">
      <c r="A7" s="38" t="s">
        <v>426</v>
      </c>
      <c r="B7" s="50" t="s">
        <v>427</v>
      </c>
      <c r="C7" s="50" t="s">
        <v>329</v>
      </c>
      <c r="D7" s="50" t="s">
        <v>322</v>
      </c>
      <c r="E7" s="50" t="s">
        <v>428</v>
      </c>
      <c r="F7" s="50" t="s">
        <v>429</v>
      </c>
    </row>
    <row r="8" customFormat="false" ht="31.5" hidden="false" customHeight="true" outlineLevel="0" collapsed="false">
      <c r="A8" s="38" t="s">
        <v>430</v>
      </c>
      <c r="B8" s="50" t="s">
        <v>431</v>
      </c>
      <c r="C8" s="50" t="s">
        <v>315</v>
      </c>
      <c r="D8" s="50" t="s">
        <v>432</v>
      </c>
      <c r="E8" s="50" t="s">
        <v>433</v>
      </c>
      <c r="F8" s="50" t="s">
        <v>434</v>
      </c>
    </row>
    <row r="9" customFormat="false" ht="31.5" hidden="false" customHeight="true" outlineLevel="0" collapsed="false">
      <c r="A9" s="38" t="s">
        <v>435</v>
      </c>
      <c r="B9" s="50" t="s">
        <v>436</v>
      </c>
      <c r="C9" s="50" t="s">
        <v>437</v>
      </c>
      <c r="D9" s="50" t="s">
        <v>315</v>
      </c>
      <c r="E9" s="50" t="s">
        <v>438</v>
      </c>
      <c r="F9" s="50" t="s">
        <v>439</v>
      </c>
    </row>
    <row r="10" customFormat="false" ht="31.5" hidden="false" customHeight="true" outlineLevel="0" collapsed="false">
      <c r="A10" s="38" t="s">
        <v>440</v>
      </c>
      <c r="B10" s="50" t="s">
        <v>441</v>
      </c>
      <c r="C10" s="50" t="s">
        <v>315</v>
      </c>
      <c r="D10" s="50" t="s">
        <v>317</v>
      </c>
      <c r="E10" s="50" t="s">
        <v>442</v>
      </c>
      <c r="F10" s="50" t="s">
        <v>443</v>
      </c>
    </row>
    <row r="11" customFormat="false" ht="31.5" hidden="false" customHeight="true" outlineLevel="0" collapsed="false">
      <c r="A11" s="38" t="s">
        <v>444</v>
      </c>
      <c r="B11" s="50" t="s">
        <v>445</v>
      </c>
      <c r="C11" s="50" t="s">
        <v>329</v>
      </c>
      <c r="D11" s="50" t="s">
        <v>315</v>
      </c>
      <c r="E11" s="50" t="s">
        <v>446</v>
      </c>
      <c r="F11" s="50" t="s">
        <v>447</v>
      </c>
    </row>
    <row r="12" customFormat="false" ht="31.5" hidden="false" customHeight="true" outlineLevel="0" collapsed="false">
      <c r="A12" s="38" t="s">
        <v>448</v>
      </c>
      <c r="B12" s="50" t="s">
        <v>449</v>
      </c>
      <c r="C12" s="50" t="s">
        <v>315</v>
      </c>
      <c r="D12" s="50" t="s">
        <v>322</v>
      </c>
      <c r="E12" s="50" t="s">
        <v>450</v>
      </c>
      <c r="F12" s="50" t="s">
        <v>451</v>
      </c>
    </row>
    <row r="13" customFormat="false" ht="31.5" hidden="false" customHeight="true" outlineLevel="0" collapsed="false">
      <c r="A13" s="38" t="s">
        <v>452</v>
      </c>
      <c r="B13" s="50" t="s">
        <v>453</v>
      </c>
      <c r="C13" s="50" t="s">
        <v>437</v>
      </c>
      <c r="D13" s="50" t="s">
        <v>315</v>
      </c>
      <c r="E13" s="50" t="s">
        <v>454</v>
      </c>
      <c r="F13" s="50" t="s">
        <v>455</v>
      </c>
    </row>
    <row r="14" customFormat="false" ht="31.5" hidden="false" customHeight="true" outlineLevel="0" collapsed="false">
      <c r="A14" s="38" t="s">
        <v>456</v>
      </c>
      <c r="B14" s="50" t="s">
        <v>457</v>
      </c>
      <c r="C14" s="50" t="s">
        <v>315</v>
      </c>
      <c r="D14" s="50" t="s">
        <v>317</v>
      </c>
      <c r="E14" s="50" t="s">
        <v>458</v>
      </c>
      <c r="F14" s="50" t="s">
        <v>459</v>
      </c>
    </row>
    <row r="15" customFormat="false" ht="31.5" hidden="false" customHeight="true" outlineLevel="0" collapsed="false">
      <c r="A15" s="38" t="s">
        <v>460</v>
      </c>
      <c r="B15" s="50" t="s">
        <v>461</v>
      </c>
      <c r="C15" s="50" t="s">
        <v>423</v>
      </c>
      <c r="D15" s="50" t="s">
        <v>315</v>
      </c>
      <c r="E15" s="50" t="s">
        <v>458</v>
      </c>
      <c r="F15" s="50" t="s">
        <v>462</v>
      </c>
    </row>
    <row r="18" customFormat="false" ht="15" hidden="false" customHeight="true" outlineLevel="0" collapsed="false">
      <c r="A18" s="14" t="s">
        <v>463</v>
      </c>
      <c r="B18" s="14"/>
      <c r="C18" s="14"/>
      <c r="D18" s="14"/>
      <c r="E18" s="14"/>
      <c r="F18" s="14"/>
    </row>
    <row r="20" customFormat="false" ht="15" hidden="false" customHeight="true" outlineLevel="0" collapsed="false">
      <c r="A20" s="13" t="s">
        <v>464</v>
      </c>
    </row>
    <row r="21" customFormat="false" ht="15" hidden="false" customHeight="true" outlineLevel="0" collapsed="false">
      <c r="A21" s="30" t="s">
        <v>465</v>
      </c>
      <c r="B21" s="30"/>
      <c r="C21" s="30"/>
      <c r="D21" s="30"/>
      <c r="E21" s="30"/>
      <c r="F21" s="30"/>
    </row>
    <row r="23" customFormat="false" ht="15" hidden="false" customHeight="true" outlineLevel="0" collapsed="false">
      <c r="A23" s="6" t="s">
        <v>466</v>
      </c>
    </row>
    <row r="24" customFormat="false" ht="15" hidden="false" customHeight="true" outlineLevel="0" collapsed="false">
      <c r="A24" s="17" t="s">
        <v>467</v>
      </c>
      <c r="B24" s="17"/>
      <c r="C24" s="17"/>
      <c r="D24" s="17"/>
      <c r="E24" s="17"/>
      <c r="F24" s="17"/>
    </row>
    <row r="26" customFormat="false" ht="15" hidden="false" customHeight="true" outlineLevel="0" collapsed="false">
      <c r="A26" s="30" t="s">
        <v>468</v>
      </c>
      <c r="B26" s="30"/>
      <c r="C26" s="30"/>
      <c r="D26" s="30"/>
      <c r="E26" s="30"/>
      <c r="F26" s="30"/>
    </row>
    <row r="28" customFormat="false" ht="15" hidden="false" customHeight="true" outlineLevel="0" collapsed="false">
      <c r="A28" s="30" t="s">
        <v>469</v>
      </c>
      <c r="B28" s="30"/>
      <c r="C28" s="30"/>
      <c r="D28" s="30"/>
      <c r="E28" s="30"/>
      <c r="F28" s="30"/>
    </row>
    <row r="30" customFormat="false" ht="15" hidden="false" customHeight="true" outlineLevel="0" collapsed="false">
      <c r="A30" s="14" t="s">
        <v>470</v>
      </c>
      <c r="B30" s="14"/>
      <c r="C30" s="14"/>
      <c r="D30" s="14"/>
      <c r="E30" s="14"/>
      <c r="F30" s="14"/>
    </row>
    <row r="31" customFormat="false" ht="19.5" hidden="false" customHeight="true" outlineLevel="0" collapsed="false">
      <c r="A31" s="32" t="s">
        <v>471</v>
      </c>
      <c r="B31" s="32"/>
      <c r="C31" s="32"/>
      <c r="D31" s="32"/>
      <c r="E31" s="32"/>
      <c r="F31" s="32"/>
    </row>
    <row r="32" customFormat="false" ht="19.5" hidden="false" customHeight="true" outlineLevel="0" collapsed="false">
      <c r="A32" s="32" t="s">
        <v>472</v>
      </c>
      <c r="B32" s="32"/>
      <c r="C32" s="32"/>
      <c r="D32" s="32"/>
      <c r="E32" s="32"/>
      <c r="F32" s="32"/>
    </row>
    <row r="33" customFormat="false" ht="19.5" hidden="false" customHeight="true" outlineLevel="0" collapsed="false">
      <c r="A33" s="32" t="s">
        <v>473</v>
      </c>
      <c r="B33" s="32"/>
      <c r="C33" s="32"/>
      <c r="D33" s="32"/>
      <c r="E33" s="32"/>
      <c r="F33" s="32"/>
    </row>
    <row r="34" customFormat="false" ht="19.5" hidden="false" customHeight="true" outlineLevel="0" collapsed="false">
      <c r="A34" s="32" t="s">
        <v>474</v>
      </c>
      <c r="B34" s="32"/>
      <c r="C34" s="32"/>
      <c r="D34" s="32"/>
      <c r="E34" s="32"/>
      <c r="F34" s="32"/>
    </row>
    <row r="35" customFormat="false" ht="19.5" hidden="false" customHeight="true" outlineLevel="0" collapsed="false">
      <c r="A35" s="32" t="s">
        <v>475</v>
      </c>
      <c r="B35" s="32"/>
      <c r="C35" s="32"/>
      <c r="D35" s="32"/>
      <c r="E35" s="32"/>
      <c r="F35" s="32"/>
    </row>
    <row r="36" customFormat="false" ht="19.5" hidden="false" customHeight="true" outlineLevel="0" collapsed="false">
      <c r="A36" s="32" t="s">
        <v>476</v>
      </c>
      <c r="B36" s="32"/>
      <c r="C36" s="32"/>
      <c r="D36" s="32"/>
      <c r="E36" s="32"/>
      <c r="F36" s="32"/>
    </row>
    <row r="38" customFormat="false" ht="15" hidden="false" customHeight="true" outlineLevel="0" collapsed="false">
      <c r="A38" s="14" t="s">
        <v>477</v>
      </c>
      <c r="B38" s="14"/>
      <c r="C38" s="14"/>
      <c r="D38" s="14"/>
      <c r="E38" s="14"/>
      <c r="F38" s="14"/>
    </row>
    <row r="40" customFormat="false" ht="15" hidden="false" customHeight="true" outlineLevel="0" collapsed="false">
      <c r="A40" s="32" t="s">
        <v>478</v>
      </c>
      <c r="B40" s="32"/>
      <c r="C40" s="32"/>
      <c r="D40" s="32"/>
      <c r="E40" s="32"/>
      <c r="F40" s="32"/>
    </row>
    <row r="41" customFormat="false" ht="26.25" hidden="false" customHeight="true" outlineLevel="0" collapsed="false">
      <c r="A41" s="15" t="s">
        <v>479</v>
      </c>
      <c r="B41" s="15" t="s">
        <v>480</v>
      </c>
      <c r="C41" s="15" t="s">
        <v>481</v>
      </c>
    </row>
    <row r="42" customFormat="false" ht="15" hidden="false" customHeight="true" outlineLevel="0" collapsed="false">
      <c r="A42" s="38" t="s">
        <v>482</v>
      </c>
      <c r="B42" s="50" t="s">
        <v>483</v>
      </c>
      <c r="C42" s="50" t="s">
        <v>484</v>
      </c>
    </row>
    <row r="43" customFormat="false" ht="23.25" hidden="false" customHeight="true" outlineLevel="0" collapsed="false">
      <c r="A43" s="38" t="s">
        <v>485</v>
      </c>
      <c r="B43" s="50" t="s">
        <v>486</v>
      </c>
      <c r="C43" s="50" t="s">
        <v>487</v>
      </c>
    </row>
    <row r="44" customFormat="false" ht="15" hidden="false" customHeight="true" outlineLevel="0" collapsed="false">
      <c r="A44" s="38" t="s">
        <v>488</v>
      </c>
      <c r="B44" s="50" t="s">
        <v>489</v>
      </c>
      <c r="C44" s="50" t="s">
        <v>490</v>
      </c>
    </row>
    <row r="45" customFormat="false" ht="34.5" hidden="false" customHeight="true" outlineLevel="0" collapsed="false">
      <c r="A45" s="38" t="s">
        <v>491</v>
      </c>
      <c r="B45" s="50" t="s">
        <v>492</v>
      </c>
      <c r="C45" s="50" t="s">
        <v>493</v>
      </c>
    </row>
    <row r="46" customFormat="false" ht="23.25" hidden="false" customHeight="true" outlineLevel="0" collapsed="false">
      <c r="A46" s="38" t="s">
        <v>494</v>
      </c>
      <c r="B46" s="50" t="s">
        <v>495</v>
      </c>
      <c r="C46" s="50" t="s">
        <v>496</v>
      </c>
    </row>
    <row r="48" customFormat="false" ht="15" hidden="false" customHeight="true" outlineLevel="0" collapsed="false">
      <c r="A48" s="14" t="s">
        <v>497</v>
      </c>
      <c r="B48" s="14"/>
      <c r="C48" s="14"/>
      <c r="D48" s="14"/>
      <c r="E48" s="14"/>
      <c r="F48" s="14"/>
    </row>
    <row r="49" customFormat="false" ht="15" hidden="false" customHeight="true" outlineLevel="0" collapsed="false">
      <c r="A49" s="32" t="s">
        <v>498</v>
      </c>
      <c r="B49" s="32"/>
      <c r="C49" s="32"/>
      <c r="D49" s="32"/>
      <c r="E49" s="32"/>
      <c r="F49" s="32"/>
    </row>
    <row r="50" customFormat="false" ht="15" hidden="false" customHeight="true" outlineLevel="0" collapsed="false">
      <c r="A50" s="32" t="s">
        <v>499</v>
      </c>
      <c r="B50" s="32"/>
      <c r="C50" s="32"/>
      <c r="D50" s="32"/>
      <c r="E50" s="32"/>
      <c r="F50" s="32"/>
    </row>
    <row r="51" customFormat="false" ht="15" hidden="false" customHeight="true" outlineLevel="0" collapsed="false">
      <c r="A51" s="32" t="s">
        <v>500</v>
      </c>
      <c r="B51" s="32"/>
      <c r="C51" s="32"/>
      <c r="D51" s="32"/>
      <c r="E51" s="32"/>
      <c r="F51" s="32"/>
    </row>
    <row r="53" customFormat="false" ht="15" hidden="false" customHeight="true" outlineLevel="0" collapsed="false">
      <c r="A53" s="14" t="s">
        <v>501</v>
      </c>
      <c r="B53" s="14"/>
      <c r="C53" s="14"/>
      <c r="D53" s="14"/>
      <c r="E53" s="14"/>
      <c r="F53" s="14"/>
    </row>
    <row r="54" customFormat="false" ht="26.25" hidden="false" customHeight="true" outlineLevel="0" collapsed="false">
      <c r="A54" s="15" t="s">
        <v>502</v>
      </c>
      <c r="B54" s="15" t="s">
        <v>503</v>
      </c>
      <c r="C54" s="15" t="s">
        <v>504</v>
      </c>
      <c r="D54" s="15" t="s">
        <v>418</v>
      </c>
      <c r="E54" s="15" t="s">
        <v>505</v>
      </c>
    </row>
    <row r="55" customFormat="false" ht="27.75" hidden="false" customHeight="true" outlineLevel="0" collapsed="false">
      <c r="A55" s="38" t="s">
        <v>506</v>
      </c>
      <c r="B55" s="50" t="s">
        <v>507</v>
      </c>
      <c r="C55" s="50" t="s">
        <v>508</v>
      </c>
      <c r="D55" s="50" t="s">
        <v>320</v>
      </c>
      <c r="E55" s="50" t="s">
        <v>509</v>
      </c>
    </row>
    <row r="56" customFormat="false" ht="27.75" hidden="false" customHeight="true" outlineLevel="0" collapsed="false">
      <c r="A56" s="38" t="s">
        <v>510</v>
      </c>
      <c r="B56" s="50" t="s">
        <v>511</v>
      </c>
      <c r="C56" s="50" t="s">
        <v>512</v>
      </c>
      <c r="D56" s="50" t="s">
        <v>315</v>
      </c>
      <c r="E56" s="50" t="s">
        <v>513</v>
      </c>
    </row>
    <row r="57" customFormat="false" ht="27.75" hidden="false" customHeight="true" outlineLevel="0" collapsed="false">
      <c r="A57" s="38" t="s">
        <v>514</v>
      </c>
      <c r="B57" s="50" t="s">
        <v>515</v>
      </c>
      <c r="C57" s="50" t="s">
        <v>516</v>
      </c>
      <c r="D57" s="50" t="s">
        <v>314</v>
      </c>
      <c r="E57" s="50" t="s">
        <v>517</v>
      </c>
    </row>
    <row r="58" customFormat="false" ht="27.75" hidden="false" customHeight="true" outlineLevel="0" collapsed="false">
      <c r="A58" s="38" t="s">
        <v>518</v>
      </c>
      <c r="B58" s="50" t="s">
        <v>519</v>
      </c>
      <c r="C58" s="50" t="s">
        <v>520</v>
      </c>
      <c r="D58" s="50" t="s">
        <v>322</v>
      </c>
      <c r="E58" s="50" t="s">
        <v>521</v>
      </c>
    </row>
    <row r="59" customFormat="false" ht="27.75" hidden="false" customHeight="true" outlineLevel="0" collapsed="false">
      <c r="A59" s="38" t="s">
        <v>522</v>
      </c>
      <c r="B59" s="50" t="s">
        <v>523</v>
      </c>
      <c r="C59" s="50" t="s">
        <v>524</v>
      </c>
      <c r="D59" s="50" t="s">
        <v>315</v>
      </c>
      <c r="E59" s="50" t="s">
        <v>525</v>
      </c>
    </row>
    <row r="60" customFormat="false" ht="27.75" hidden="false" customHeight="true" outlineLevel="0" collapsed="false">
      <c r="A60" s="38" t="s">
        <v>526</v>
      </c>
      <c r="B60" s="50" t="s">
        <v>519</v>
      </c>
      <c r="C60" s="50" t="s">
        <v>527</v>
      </c>
      <c r="D60" s="50" t="s">
        <v>322</v>
      </c>
      <c r="E60" s="50" t="s">
        <v>528</v>
      </c>
    </row>
    <row r="61" customFormat="false" ht="27.75" hidden="false" customHeight="true" outlineLevel="0" collapsed="false">
      <c r="A61" s="38" t="s">
        <v>529</v>
      </c>
      <c r="B61" s="50" t="s">
        <v>530</v>
      </c>
      <c r="C61" s="50" t="s">
        <v>516</v>
      </c>
      <c r="D61" s="50" t="s">
        <v>317</v>
      </c>
      <c r="E61" s="50" t="s">
        <v>531</v>
      </c>
    </row>
    <row r="62" customFormat="false" ht="27.75" hidden="false" customHeight="true" outlineLevel="0" collapsed="false">
      <c r="A62" s="38" t="s">
        <v>532</v>
      </c>
      <c r="B62" s="50" t="s">
        <v>533</v>
      </c>
      <c r="C62" s="50" t="s">
        <v>534</v>
      </c>
      <c r="D62" s="50" t="s">
        <v>317</v>
      </c>
      <c r="E62" s="50" t="s">
        <v>535</v>
      </c>
    </row>
    <row r="64" customFormat="false" ht="15" hidden="false" customHeight="true" outlineLevel="0" collapsed="false">
      <c r="A64" s="14" t="s">
        <v>536</v>
      </c>
      <c r="B64" s="14"/>
      <c r="C64" s="14"/>
      <c r="D64" s="14"/>
      <c r="E64" s="14"/>
      <c r="F64" s="14"/>
    </row>
    <row r="66" customFormat="false" ht="15" hidden="false" customHeight="true" outlineLevel="0" collapsed="false">
      <c r="A66" s="13" t="s">
        <v>537</v>
      </c>
    </row>
    <row r="67" customFormat="false" ht="15" hidden="false" customHeight="true" outlineLevel="0" collapsed="false">
      <c r="A67" s="32" t="s">
        <v>538</v>
      </c>
      <c r="B67" s="32"/>
      <c r="C67" s="32"/>
      <c r="D67" s="32"/>
      <c r="E67" s="32"/>
      <c r="F67" s="32"/>
    </row>
    <row r="68" customFormat="false" ht="15" hidden="false" customHeight="true" outlineLevel="0" collapsed="false">
      <c r="A68" s="17" t="s">
        <v>539</v>
      </c>
      <c r="B68" s="17"/>
      <c r="C68" s="17"/>
      <c r="D68" s="17"/>
      <c r="E68" s="17"/>
      <c r="F68" s="17"/>
    </row>
    <row r="69" customFormat="false" ht="15" hidden="false" customHeight="true" outlineLevel="0" collapsed="false">
      <c r="A69" s="32" t="s">
        <v>540</v>
      </c>
      <c r="B69" s="32"/>
      <c r="C69" s="32"/>
      <c r="D69" s="32"/>
      <c r="E69" s="32"/>
      <c r="F69" s="32"/>
    </row>
    <row r="70" customFormat="false" ht="15" hidden="false" customHeight="true" outlineLevel="0" collapsed="false">
      <c r="A70" s="32" t="s">
        <v>541</v>
      </c>
      <c r="B70" s="32"/>
      <c r="C70" s="32"/>
      <c r="D70" s="32"/>
      <c r="E70" s="32"/>
      <c r="F70" s="32"/>
    </row>
    <row r="71" customFormat="false" ht="15" hidden="false" customHeight="true" outlineLevel="0" collapsed="false">
      <c r="A71" s="32" t="s">
        <v>542</v>
      </c>
      <c r="B71" s="32"/>
      <c r="C71" s="32"/>
      <c r="D71" s="32"/>
      <c r="E71" s="32"/>
      <c r="F71" s="32"/>
    </row>
    <row r="73" customFormat="false" ht="15" hidden="false" customHeight="true" outlineLevel="0" collapsed="false">
      <c r="A73" s="14" t="s">
        <v>543</v>
      </c>
      <c r="B73" s="14"/>
      <c r="C73" s="14"/>
      <c r="D73" s="14"/>
      <c r="E73" s="14"/>
      <c r="F73" s="14"/>
    </row>
    <row r="75" customFormat="false" ht="15" hidden="false" customHeight="true" outlineLevel="0" collapsed="false">
      <c r="A75" s="13" t="s">
        <v>544</v>
      </c>
    </row>
    <row r="76" customFormat="false" ht="45" hidden="false" customHeight="true" outlineLevel="0" collapsed="false">
      <c r="A76" s="32" t="s">
        <v>545</v>
      </c>
      <c r="B76" s="32"/>
      <c r="C76" s="32"/>
      <c r="D76" s="32"/>
      <c r="E76" s="32"/>
      <c r="F76" s="32"/>
    </row>
    <row r="78" customFormat="false" ht="15" hidden="false" customHeight="true" outlineLevel="0" collapsed="false">
      <c r="A78" s="13" t="s">
        <v>546</v>
      </c>
    </row>
    <row r="79" customFormat="false" ht="45" hidden="false" customHeight="true" outlineLevel="0" collapsed="false">
      <c r="A79" s="32" t="s">
        <v>547</v>
      </c>
      <c r="B79" s="32"/>
      <c r="C79" s="32"/>
      <c r="D79" s="32"/>
      <c r="E79" s="32"/>
      <c r="F79" s="32"/>
    </row>
    <row r="81" customFormat="false" ht="15" hidden="false" customHeight="true" outlineLevel="0" collapsed="false">
      <c r="A81" s="13" t="s">
        <v>548</v>
      </c>
    </row>
    <row r="82" customFormat="false" ht="45" hidden="false" customHeight="true" outlineLevel="0" collapsed="false">
      <c r="A82" s="32" t="s">
        <v>549</v>
      </c>
      <c r="B82" s="32"/>
      <c r="C82" s="32"/>
      <c r="D82" s="32"/>
      <c r="E82" s="32"/>
      <c r="F82" s="32"/>
    </row>
    <row r="84" customFormat="false" ht="15" hidden="false" customHeight="false" outlineLevel="0" collapsed="false">
      <c r="A84" s="18" t="s">
        <v>550</v>
      </c>
      <c r="B84" s="18"/>
      <c r="C84" s="18"/>
      <c r="D84" s="18"/>
      <c r="E84" s="18"/>
      <c r="F84" s="18"/>
    </row>
    <row r="86" customFormat="false" ht="15" hidden="false" customHeight="false" outlineLevel="0" collapsed="false">
      <c r="A86" s="36" t="s">
        <v>551</v>
      </c>
      <c r="B86" s="36"/>
      <c r="C86" s="36"/>
      <c r="D86" s="36"/>
      <c r="E86" s="36"/>
      <c r="F86" s="36"/>
    </row>
    <row r="88" customFormat="false" ht="15" hidden="false" customHeight="false" outlineLevel="0" collapsed="false">
      <c r="A88" s="34" t="s">
        <v>552</v>
      </c>
    </row>
    <row r="89" customFormat="false" ht="15" hidden="false" customHeight="false" outlineLevel="0" collapsed="false">
      <c r="A89" s="36" t="s">
        <v>553</v>
      </c>
      <c r="B89" s="36"/>
      <c r="C89" s="36"/>
      <c r="D89" s="36"/>
      <c r="E89" s="36"/>
      <c r="F89" s="36"/>
    </row>
    <row r="90" customFormat="false" ht="15" hidden="false" customHeight="false" outlineLevel="0" collapsed="false">
      <c r="A90" s="36" t="s">
        <v>554</v>
      </c>
      <c r="B90" s="36"/>
      <c r="C90" s="36"/>
      <c r="D90" s="36"/>
      <c r="E90" s="36"/>
      <c r="F90" s="36"/>
    </row>
    <row r="91" customFormat="false" ht="15" hidden="false" customHeight="false" outlineLevel="0" collapsed="false">
      <c r="A91" s="36" t="s">
        <v>555</v>
      </c>
      <c r="B91" s="36"/>
      <c r="C91" s="36"/>
      <c r="D91" s="36"/>
      <c r="E91" s="36"/>
      <c r="F91" s="36"/>
    </row>
    <row r="92" customFormat="false" ht="15" hidden="false" customHeight="false" outlineLevel="0" collapsed="false">
      <c r="A92" s="36" t="s">
        <v>556</v>
      </c>
      <c r="B92" s="36"/>
      <c r="C92" s="36"/>
      <c r="D92" s="36"/>
      <c r="E92" s="36"/>
      <c r="F92" s="36"/>
    </row>
    <row r="93" customFormat="false" ht="15" hidden="false" customHeight="false" outlineLevel="0" collapsed="false">
      <c r="A93" s="36" t="s">
        <v>557</v>
      </c>
      <c r="B93" s="36"/>
      <c r="C93" s="36"/>
      <c r="D93" s="36"/>
      <c r="E93" s="36"/>
      <c r="F93" s="36"/>
    </row>
  </sheetData>
  <mergeCells count="39">
    <mergeCell ref="A1:G1"/>
    <mergeCell ref="A2:G2"/>
    <mergeCell ref="A4:F4"/>
    <mergeCell ref="A18:F18"/>
    <mergeCell ref="A21:F21"/>
    <mergeCell ref="A24:F24"/>
    <mergeCell ref="A26:F26"/>
    <mergeCell ref="A28:F28"/>
    <mergeCell ref="A30:F30"/>
    <mergeCell ref="A31:F31"/>
    <mergeCell ref="A32:F32"/>
    <mergeCell ref="A33:F33"/>
    <mergeCell ref="A34:F34"/>
    <mergeCell ref="A35:F35"/>
    <mergeCell ref="A36:F36"/>
    <mergeCell ref="A38:F38"/>
    <mergeCell ref="A40:F40"/>
    <mergeCell ref="A48:F48"/>
    <mergeCell ref="A49:F49"/>
    <mergeCell ref="A50:F50"/>
    <mergeCell ref="A51:F51"/>
    <mergeCell ref="A53:F53"/>
    <mergeCell ref="A64:F64"/>
    <mergeCell ref="A67:F67"/>
    <mergeCell ref="A68:F68"/>
    <mergeCell ref="A69:F69"/>
    <mergeCell ref="A70:F70"/>
    <mergeCell ref="A71:F71"/>
    <mergeCell ref="A73:F73"/>
    <mergeCell ref="A76:F76"/>
    <mergeCell ref="A79:F79"/>
    <mergeCell ref="A82:F82"/>
    <mergeCell ref="A84:F84"/>
    <mergeCell ref="A86:F86"/>
    <mergeCell ref="A89:F89"/>
    <mergeCell ref="A90:F90"/>
    <mergeCell ref="A91:F91"/>
    <mergeCell ref="A92:F92"/>
    <mergeCell ref="A93:F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2026-08-23T22:38:56Z</dcterms:created>
  <dc:creator>openpyxl</dc:creator>
  <dc:description/>
  <dc:language>en-US</dc:language>
  <cp:lastModifiedBy/>
  <dcterms:modified xsi:type="dcterms:W3CDTF">2026-08-23T22:59:13Z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